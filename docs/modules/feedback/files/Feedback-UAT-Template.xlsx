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Người tham gia" sheetId="2" state="visible" r:id="rId2"/>
    <sheet name="Nhiệm vụ" sheetId="3" state="visible" r:id="rId3"/>
    <sheet name="Khảo sát" sheetId="4" state="visible" r:id="rId4"/>
    <sheet name="Nhật ký vấn đề" sheetId="5" state="visible" r:id="rId5"/>
    <sheet name="Tổng hợp" sheetId="6" state="visible" r:id="rId6"/>
    <sheet name="Lists" sheetId="7" state="hidden" r:id="rId7"/>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Public Sans"/>
      <b val="1"/>
      <color rgb="00A50064"/>
      <sz val="16"/>
    </font>
    <font>
      <name val="Public Sans"/>
      <color rgb="0052525B"/>
      <sz val="11"/>
    </font>
    <font>
      <name val="Public Sans"/>
      <b val="1"/>
      <color rgb="0018181B"/>
      <sz val="12"/>
    </font>
    <font>
      <name val="Public Sans"/>
      <b val="1"/>
      <color rgb="00A50064"/>
      <sz val="10.5"/>
    </font>
    <font>
      <name val="Public Sans"/>
      <color rgb="0018181B"/>
      <sz val="10.5"/>
    </font>
    <font>
      <name val="Public Sans"/>
      <b val="1"/>
      <color rgb="0052525B"/>
      <sz val="10.5"/>
    </font>
    <font>
      <name val="Public Sans"/>
      <b val="1"/>
      <color rgb="00A50064"/>
      <sz val="15"/>
    </font>
    <font>
      <name val="Public Sans"/>
      <color rgb="0052525B"/>
      <sz val="10.5"/>
    </font>
    <font>
      <name val="Public Sans"/>
      <b val="1"/>
      <color rgb="00FFFFFF"/>
      <sz val="10.5"/>
    </font>
    <font>
      <name val="Public Sans"/>
      <b val="1"/>
      <color rgb="00FFFFFF"/>
      <sz val="10"/>
    </font>
    <font>
      <name val="Public Sans"/>
      <b val="1"/>
      <color rgb="00A50064"/>
      <sz val="11"/>
    </font>
    <font>
      <name val="Public Sans"/>
      <i val="1"/>
      <color rgb="0052525B"/>
      <sz val="10"/>
    </font>
  </fonts>
  <fills count="5">
    <fill>
      <patternFill/>
    </fill>
    <fill>
      <patternFill patternType="gray125"/>
    </fill>
    <fill>
      <patternFill patternType="solid">
        <fgColor rgb="00FBE4F0"/>
      </patternFill>
    </fill>
    <fill>
      <patternFill patternType="solid">
        <fgColor rgb="00A50064"/>
      </patternFill>
    </fill>
    <fill>
      <patternFill patternType="solid">
        <fgColor rgb="00FAFAFA"/>
      </patternFill>
    </fill>
  </fills>
  <borders count="2">
    <border>
      <left/>
      <right/>
      <top/>
      <bottom/>
      <diagonal/>
    </border>
    <border>
      <left style="thin">
        <color rgb="00E4E4E7"/>
      </left>
      <right style="thin">
        <color rgb="00E4E4E7"/>
      </right>
      <top style="thin">
        <color rgb="00E4E4E7"/>
      </top>
      <bottom style="thin">
        <color rgb="00E4E4E7"/>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center"/>
    </xf>
    <xf numFmtId="0" fontId="5" fillId="0" borderId="1"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wrapText="1"/>
    </xf>
    <xf numFmtId="0" fontId="9"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vertical="center"/>
    </xf>
    <xf numFmtId="0" fontId="5" fillId="4" borderId="1" applyAlignment="1" pivotButton="0" quotePrefix="0" xfId="0">
      <alignment horizontal="center" vertical="center"/>
    </xf>
    <xf numFmtId="0" fontId="5" fillId="4" borderId="1" applyAlignment="1" pivotButton="0" quotePrefix="0" xfId="0">
      <alignment vertical="center"/>
    </xf>
    <xf numFmtId="0" fontId="5" fillId="4" borderId="1" applyAlignment="1" pivotButton="0" quotePrefix="0" xfId="0">
      <alignment vertical="center" wrapText="1"/>
    </xf>
    <xf numFmtId="0" fontId="8" fillId="0" borderId="1" applyAlignment="1" pivotButton="0" quotePrefix="0" xfId="0">
      <alignment vertical="center" wrapText="1"/>
    </xf>
    <xf numFmtId="0" fontId="8" fillId="4" borderId="1" applyAlignment="1" pivotButton="0" quotePrefix="0" xfId="0">
      <alignment vertical="center" wrapText="1"/>
    </xf>
    <xf numFmtId="0" fontId="4" fillId="2" borderId="1" applyAlignment="1" pivotButton="0" quotePrefix="0" xfId="0">
      <alignment horizontal="center" vertical="center"/>
    </xf>
    <xf numFmtId="0" fontId="10" fillId="3" borderId="1" applyAlignment="1" pivotButton="0" quotePrefix="0" xfId="0">
      <alignment horizontal="center" vertical="center" wrapText="1"/>
    </xf>
    <xf numFmtId="0" fontId="8" fillId="4" borderId="1" applyAlignment="1" pivotButton="0" quotePrefix="0" xfId="0">
      <alignment vertical="center"/>
    </xf>
    <xf numFmtId="0" fontId="8" fillId="0" borderId="1" applyAlignment="1" pivotButton="0" quotePrefix="0" xfId="0">
      <alignment vertical="center"/>
    </xf>
    <xf numFmtId="0" fontId="11" fillId="0" borderId="1" applyAlignment="1" pivotButton="0" quotePrefix="0" xfId="0">
      <alignment horizontal="center" vertical="center"/>
    </xf>
    <xf numFmtId="2" fontId="11" fillId="0" borderId="1" applyAlignment="1" pivotButton="0" quotePrefix="0" xfId="0">
      <alignment horizontal="center" vertical="center"/>
    </xf>
    <xf numFmtId="9" fontId="11" fillId="0" borderId="1" applyAlignment="1" pivotButton="0" quotePrefix="0" xfId="0">
      <alignment horizontal="center" vertical="center"/>
    </xf>
    <xf numFmtId="0" fontId="12" fillId="0" borderId="0" applyAlignment="1" pivotButton="0" quotePrefix="0" xfId="0">
      <alignment vertical="top" wrapText="1"/>
    </xf>
    <xf numFmtId="0" fontId="9" fillId="3" borderId="0" pivotButton="0" quotePrefix="0" xfId="0"/>
  </cellXfs>
  <cellStyles count="1">
    <cellStyle name="Normal" xfId="0" builtinId="0" hidden="0"/>
  </cellStyles>
  <dxfs count="2">
    <dxf>
      <font>
        <name val="Public Sans"/>
        <b val="1"/>
        <color rgb="00A50064"/>
        <sz val="10.5"/>
      </font>
      <fill>
        <patternFill patternType="solid">
          <fgColor rgb="00FBE4F0"/>
        </patternFill>
      </fill>
    </dxf>
    <dxf>
      <fill>
        <patternFill patternType="solid">
          <fgColor rgb="00F0FDF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4"/>
  <sheetViews>
    <sheetView showGridLines="0" workbookViewId="0">
      <selection activeCell="A1" sqref="A1"/>
    </sheetView>
  </sheetViews>
  <sheetFormatPr baseColWidth="8" defaultRowHeight="15"/>
  <cols>
    <col width="4" customWidth="1" min="1" max="1"/>
    <col width="30" customWidth="1" min="2" max="2"/>
    <col width="96" customWidth="1" min="3" max="3"/>
  </cols>
  <sheetData>
    <row r="2" ht="28" customHeight="1">
      <c r="B2" s="1" t="inlineStr">
        <is>
          <t>PHIẾU THU THẬP PHẢN HỒI NGƯỜI DÙNG - MODULE PHẢN HỒI (PMS)</t>
        </is>
      </c>
    </row>
    <row r="3" ht="32" customHeight="1">
      <c r="B3" s="2" t="inlineStr">
        <is>
          <t>Dùng cho buổi cho người dùng trải nghiệm thử prototype E-04, M-04 và H-05 đến H-07. Một file dùng chung cho cả đợt test, mỗi người tham gia là một dòng ở sheet Người tham gia.</t>
        </is>
      </c>
    </row>
    <row r="5" ht="24" customHeight="1">
      <c r="B5" s="3" t="inlineStr">
        <is>
          <t>Cách dùng file</t>
        </is>
      </c>
    </row>
    <row r="6" ht="34" customHeight="1">
      <c r="B6" s="4" t="inlineStr">
        <is>
          <t>1. Trước buổi test</t>
        </is>
      </c>
      <c r="C6" s="5" t="inlineStr">
        <is>
          <t>Điền trước sheet Người tham gia - mã, tên, phòng ban, vai trò, ngày và hình thức. Mã người tham gia đặt dạng P01, P02 và dùng lại ở mọi sheet.</t>
        </is>
      </c>
    </row>
    <row r="7" ht="34" customHeight="1">
      <c r="B7" s="4" t="inlineStr">
        <is>
          <t>2. Trong buổi test</t>
        </is>
      </c>
      <c r="C7" s="5" t="inlineStr">
        <is>
          <t>Người quan sát ghi sheet Nhiệm vụ - mỗi dòng là một người làm một nhiệm vụ. Thấy gì vướng thì ghi ngay sang sheet Nhật ký vấn đề, không đợi cuối buổi.</t>
        </is>
      </c>
    </row>
    <row r="8" ht="34" customHeight="1">
      <c r="B8" s="4" t="inlineStr">
        <is>
          <t>3. Ngay sau buổi test</t>
        </is>
      </c>
      <c r="C8" s="5" t="inlineStr">
        <is>
          <t>Người tham gia tự điền sheet Khảo sát - 14 câu thang 1 đến 5, một câu mức độ sẵn sàng giới thiệu và bốn câu trả lời tự do.</t>
        </is>
      </c>
    </row>
    <row r="9" ht="34" customHeight="1">
      <c r="B9" s="4" t="inlineStr">
        <is>
          <t>4. Sau cả đợt</t>
        </is>
      </c>
      <c r="C9" s="5" t="inlineStr">
        <is>
          <t>Sheet Tổng hợp tự tính - không cần gõ tay. Chỉ đọc và chọn ra việc cần sửa trước.</t>
        </is>
      </c>
    </row>
    <row r="11" ht="34" customHeight="1">
      <c r="B11" s="4" t="inlineStr">
        <is>
          <t>Thang điểm 1 đến 5</t>
        </is>
      </c>
      <c r="C11" s="5" t="inlineStr">
        <is>
          <t>1 rất không đồng ý - 2 không đồng ý - 3 bình thường - 4 đồng ý - 5 rất đồng ý. Ô có sẵn danh sách chọn, không gõ tay.</t>
        </is>
      </c>
    </row>
    <row r="12" ht="34" customHeight="1">
      <c r="B12" s="4" t="inlineStr">
        <is>
          <t>Mức độ sẵn sàng giới thiệu</t>
        </is>
      </c>
      <c r="C12" s="5" t="inlineStr">
        <is>
          <t>Thang 0 đến 10. Từ 9 đến 10 là ủng hộ, 7 đến 8 là trung lập, từ 0 đến 6 là chưa hài lòng.</t>
        </is>
      </c>
    </row>
    <row r="13" ht="34" customHeight="1">
      <c r="B13" s="4" t="inlineStr">
        <is>
          <t>Kết quả nhiệm vụ</t>
        </is>
      </c>
      <c r="C13" s="5" t="inlineStr">
        <is>
          <t>Hoàn thành tự làm được - Hoàn thành cần gợi ý - Không hoàn thành - Không áp dụng khi nhiệm vụ không thuộc vai trò của người đó.</t>
        </is>
      </c>
    </row>
    <row r="14" ht="34" customHeight="1">
      <c r="B14" s="4" t="inlineStr">
        <is>
          <t>Mức độ vấn đề</t>
        </is>
      </c>
      <c r="C14" s="5" t="inlineStr">
        <is>
          <t>Nghiêm trọng chặn luồng - Cao rất khó chịu - Trung bình gây chậm hoặc nhầm - Thấp là gợn nhỏ.</t>
        </is>
      </c>
    </row>
    <row r="16" ht="34" customHeight="1">
      <c r="B16" s="4" t="inlineStr">
        <is>
          <t>Số người nên mời</t>
        </is>
      </c>
      <c r="C16" s="5" t="inlineStr">
        <is>
          <t>Mỗi vai trò từ 5 đến 8 người là đủ thấy phần lớn vấn đề. Ưu tiên người chưa từng xem prototype.</t>
        </is>
      </c>
    </row>
    <row r="17" ht="34" customHeight="1">
      <c r="B17" s="4" t="inlineStr">
        <is>
          <t>Nguyên tắc hỏi</t>
        </is>
      </c>
      <c r="C17" s="5" t="inlineStr">
        <is>
          <t>Hỏi việc đã xảy ra, không hỏi giả định. Không gợi ý đáp án, không bênh thiết kế. Người tham gia im lặng thì chờ, đừng giải thích giúp.</t>
        </is>
      </c>
    </row>
    <row r="18" ht="34" customHeight="1">
      <c r="B18" s="4" t="inlineStr">
        <is>
          <t>Lưu ý riêng tư</t>
        </is>
      </c>
      <c r="C18" s="5" t="inlineStr">
        <is>
          <t>Nói rõ với người tham gia là file này dùng để sửa sản phẩm, không dùng để đánh giá cá nhân. Không ghi lại nội dung phản hồi thật của người khác.</t>
        </is>
      </c>
    </row>
    <row r="20">
      <c r="B20" s="3" t="inlineStr">
        <is>
          <t>Danh sách nhiệm vụ chuẩn</t>
        </is>
      </c>
    </row>
    <row r="21" ht="22" customHeight="1">
      <c r="B21" s="6" t="inlineStr">
        <is>
          <t>NV-1 - Nhân viên</t>
        </is>
      </c>
      <c r="C21" s="7" t="inlineStr">
        <is>
          <t>Cho một đồng nghiệp phản hồi về việc vừa làm cùng</t>
        </is>
      </c>
    </row>
    <row r="22" ht="22" customHeight="1">
      <c r="B22" s="6" t="inlineStr">
        <is>
          <t>NV-2 - Nhân viên</t>
        </is>
      </c>
      <c r="C22" s="7" t="inlineStr">
        <is>
          <t>Dùng gợi ý AI rồi chọn bản cuối trước khi gửi</t>
        </is>
      </c>
    </row>
    <row r="23" ht="22" customHeight="1">
      <c r="B23" s="6" t="inlineStr">
        <is>
          <t>NV-3 - Nhân viên</t>
        </is>
      </c>
      <c r="C23" s="7" t="inlineStr">
        <is>
          <t>Chọn ai được xem phản hồi mình vừa viết</t>
        </is>
      </c>
    </row>
    <row r="24" ht="22" customHeight="1">
      <c r="B24" s="6" t="inlineStr">
        <is>
          <t>NV-4 - Nhân viên</t>
        </is>
      </c>
      <c r="C24" s="7" t="inlineStr">
        <is>
          <t>Yêu cầu phản hồi từ 3 người về một dự án, có hạn trả lời</t>
        </is>
      </c>
    </row>
    <row r="25" ht="22" customHeight="1">
      <c r="B25" s="6" t="inlineStr">
        <is>
          <t>NV-5 - Nhân viên</t>
        </is>
      </c>
      <c r="C25" s="7" t="inlineStr">
        <is>
          <t>Trả lời một yêu cầu phản hồi gửi đến mình</t>
        </is>
      </c>
    </row>
    <row r="26" ht="22" customHeight="1">
      <c r="B26" s="6" t="inlineStr">
        <is>
          <t>NV-6 - Nhân viên</t>
        </is>
      </c>
      <c r="C26" s="7" t="inlineStr">
        <is>
          <t>Tìm lại phản hồi đã nhận và lọc theo Đã nhận hoặc Đã cho</t>
        </is>
      </c>
    </row>
    <row r="27" ht="22" customHeight="1">
      <c r="B27" s="6" t="inlineStr">
        <is>
          <t>NV-7 - Nhân viên</t>
        </is>
      </c>
      <c r="C27" s="7" t="inlineStr">
        <is>
          <t>Nhắc người chưa trả lời trong yêu cầu của mình</t>
        </is>
      </c>
    </row>
    <row r="28" ht="22" customHeight="1">
      <c r="B28" s="6" t="inlineStr">
        <is>
          <t>QL-1 - Quản lý</t>
        </is>
      </c>
      <c r="C28" s="7" t="inlineStr">
        <is>
          <t>Xem phản hồi mà một nhân viên cấp dưới nhận được</t>
        </is>
      </c>
    </row>
    <row r="29" ht="22" customHeight="1">
      <c r="B29" s="6" t="inlineStr">
        <is>
          <t>QL-2 - Quản lý</t>
        </is>
      </c>
      <c r="C29" s="7" t="inlineStr">
        <is>
          <t>Tạo yêu cầu phản hồi cho một nhân viên cấp dưới</t>
        </is>
      </c>
    </row>
    <row r="30" ht="22" customHeight="1">
      <c r="B30" s="6" t="inlineStr">
        <is>
          <t>QL-3 - Quản lý</t>
        </is>
      </c>
      <c r="C30" s="7" t="inlineStr">
        <is>
          <t>Theo dõi tiến độ yêu cầu đã tạo và nhắc người chưa trả lời</t>
        </is>
      </c>
    </row>
    <row r="31" ht="22" customHeight="1">
      <c r="B31" s="6" t="inlineStr">
        <is>
          <t>QL-4 - Quản lý</t>
        </is>
      </c>
      <c r="C31" s="7" t="inlineStr">
        <is>
          <t>Đọc tóm tắt AI và nói ra một điều sẽ coaching cho nhân viên</t>
        </is>
      </c>
    </row>
    <row r="32" ht="22" customHeight="1">
      <c r="B32" s="6" t="inlineStr">
        <is>
          <t>HR-1 - HR</t>
        </is>
      </c>
      <c r="C32" s="7" t="inlineStr">
        <is>
          <t>Tạo một chương trình thu thập phản hồi</t>
        </is>
      </c>
    </row>
    <row r="33" ht="22" customHeight="1">
      <c r="B33" s="6" t="inlineStr">
        <is>
          <t>HR-2 - HR</t>
        </is>
      </c>
      <c r="C33" s="7" t="inlineStr">
        <is>
          <t>Theo dõi tiến độ chương trình và nhắc người chưa trả lời</t>
        </is>
      </c>
    </row>
    <row r="34" ht="22" customHeight="1">
      <c r="B34" s="6" t="inlineStr">
        <is>
          <t>HR-3 - HR</t>
        </is>
      </c>
      <c r="C34" s="7" t="inlineStr">
        <is>
          <t>Xem báo cáo phản hồi của chương trình</t>
        </is>
      </c>
    </row>
  </sheetData>
  <mergeCells count="2">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4" customWidth="1" min="3" max="3"/>
    <col width="22" customWidth="1" min="4" max="4"/>
    <col width="20" customWidth="1" min="5" max="5"/>
    <col width="18" customWidth="1" min="6" max="6"/>
    <col width="13" customWidth="1" min="7" max="7"/>
    <col width="26" customWidth="1" min="8" max="8"/>
    <col width="18" customWidth="1" min="9" max="9"/>
  </cols>
  <sheetData>
    <row r="1" ht="26" customHeight="1">
      <c r="A1" s="8" t="inlineStr">
        <is>
          <t>Người tham gia</t>
        </is>
      </c>
    </row>
    <row r="2" ht="18" customHeight="1">
      <c r="A2" s="9" t="inlineStr">
        <is>
          <t>Mỗi dòng là một người. Mã người tham gia đặt P01, P02 và dùng lại ở các sheet sau.</t>
        </is>
      </c>
    </row>
    <row r="4" ht="34" customHeight="1">
      <c r="A4" s="10" t="inlineStr">
        <is>
          <t>Mã</t>
        </is>
      </c>
      <c r="B4" s="10" t="inlineStr">
        <is>
          <t>Họ tên</t>
        </is>
      </c>
      <c r="C4" s="10" t="inlineStr">
        <is>
          <t>Phòng ban hoặc team</t>
        </is>
      </c>
      <c r="D4" s="10" t="inlineStr">
        <is>
          <t>Chức danh</t>
        </is>
      </c>
      <c r="E4" s="10" t="inlineStr">
        <is>
          <t>Vai trò khi test</t>
        </is>
      </c>
      <c r="F4" s="10" t="inlineStr">
        <is>
          <t>Thâm niên tại MoMo</t>
        </is>
      </c>
      <c r="G4" s="10" t="inlineStr">
        <is>
          <t>Ngày test</t>
        </is>
      </c>
      <c r="H4" s="10" t="inlineStr">
        <is>
          <t>Hình thức</t>
        </is>
      </c>
      <c r="I4" s="10" t="inlineStr">
        <is>
          <t>Người quan sát</t>
        </is>
      </c>
    </row>
    <row r="5" ht="22" customHeight="1">
      <c r="A5" s="11" t="inlineStr">
        <is>
          <t>P01</t>
        </is>
      </c>
      <c r="B5" s="12" t="n"/>
      <c r="C5" s="7" t="n"/>
      <c r="D5" s="7" t="n"/>
      <c r="E5" s="7" t="n"/>
      <c r="F5" s="7" t="n"/>
      <c r="G5" s="7" t="n"/>
      <c r="H5" s="7" t="n"/>
      <c r="I5" s="7" t="n"/>
    </row>
    <row r="6" ht="22" customHeight="1">
      <c r="A6" s="13" t="inlineStr">
        <is>
          <t>P02</t>
        </is>
      </c>
      <c r="B6" s="14" t="n"/>
      <c r="C6" s="15" t="n"/>
      <c r="D6" s="15" t="n"/>
      <c r="E6" s="15" t="n"/>
      <c r="F6" s="15" t="n"/>
      <c r="G6" s="15" t="n"/>
      <c r="H6" s="15" t="n"/>
      <c r="I6" s="15" t="n"/>
    </row>
    <row r="7" ht="22" customHeight="1">
      <c r="A7" s="11" t="inlineStr">
        <is>
          <t>P03</t>
        </is>
      </c>
      <c r="B7" s="12" t="n"/>
      <c r="C7" s="7" t="n"/>
      <c r="D7" s="7" t="n"/>
      <c r="E7" s="7" t="n"/>
      <c r="F7" s="7" t="n"/>
      <c r="G7" s="7" t="n"/>
      <c r="H7" s="7" t="n"/>
      <c r="I7" s="7" t="n"/>
    </row>
    <row r="8" ht="22" customHeight="1">
      <c r="A8" s="13" t="inlineStr">
        <is>
          <t>P04</t>
        </is>
      </c>
      <c r="B8" s="14" t="n"/>
      <c r="C8" s="15" t="n"/>
      <c r="D8" s="15" t="n"/>
      <c r="E8" s="15" t="n"/>
      <c r="F8" s="15" t="n"/>
      <c r="G8" s="15" t="n"/>
      <c r="H8" s="15" t="n"/>
      <c r="I8" s="15" t="n"/>
    </row>
    <row r="9" ht="22" customHeight="1">
      <c r="A9" s="11" t="inlineStr">
        <is>
          <t>P05</t>
        </is>
      </c>
      <c r="B9" s="12" t="n"/>
      <c r="C9" s="7" t="n"/>
      <c r="D9" s="7" t="n"/>
      <c r="E9" s="7" t="n"/>
      <c r="F9" s="7" t="n"/>
      <c r="G9" s="7" t="n"/>
      <c r="H9" s="7" t="n"/>
      <c r="I9" s="7" t="n"/>
    </row>
    <row r="10" ht="22" customHeight="1">
      <c r="A10" s="13" t="inlineStr">
        <is>
          <t>P06</t>
        </is>
      </c>
      <c r="B10" s="14" t="n"/>
      <c r="C10" s="15" t="n"/>
      <c r="D10" s="15" t="n"/>
      <c r="E10" s="15" t="n"/>
      <c r="F10" s="15" t="n"/>
      <c r="G10" s="15" t="n"/>
      <c r="H10" s="15" t="n"/>
      <c r="I10" s="15" t="n"/>
    </row>
    <row r="11" ht="22" customHeight="1">
      <c r="A11" s="11" t="inlineStr">
        <is>
          <t>P07</t>
        </is>
      </c>
      <c r="B11" s="12" t="n"/>
      <c r="C11" s="7" t="n"/>
      <c r="D11" s="7" t="n"/>
      <c r="E11" s="7" t="n"/>
      <c r="F11" s="7" t="n"/>
      <c r="G11" s="7" t="n"/>
      <c r="H11" s="7" t="n"/>
      <c r="I11" s="7" t="n"/>
    </row>
    <row r="12" ht="22" customHeight="1">
      <c r="A12" s="13" t="inlineStr">
        <is>
          <t>P08</t>
        </is>
      </c>
      <c r="B12" s="14" t="n"/>
      <c r="C12" s="15" t="n"/>
      <c r="D12" s="15" t="n"/>
      <c r="E12" s="15" t="n"/>
      <c r="F12" s="15" t="n"/>
      <c r="G12" s="15" t="n"/>
      <c r="H12" s="15" t="n"/>
      <c r="I12" s="15" t="n"/>
    </row>
    <row r="13" ht="22" customHeight="1">
      <c r="A13" s="11" t="inlineStr">
        <is>
          <t>P09</t>
        </is>
      </c>
      <c r="B13" s="12" t="n"/>
      <c r="C13" s="7" t="n"/>
      <c r="D13" s="7" t="n"/>
      <c r="E13" s="7" t="n"/>
      <c r="F13" s="7" t="n"/>
      <c r="G13" s="7" t="n"/>
      <c r="H13" s="7" t="n"/>
      <c r="I13" s="7" t="n"/>
    </row>
    <row r="14" ht="22" customHeight="1">
      <c r="A14" s="13" t="inlineStr">
        <is>
          <t>P10</t>
        </is>
      </c>
      <c r="B14" s="14" t="n"/>
      <c r="C14" s="15" t="n"/>
      <c r="D14" s="15" t="n"/>
      <c r="E14" s="15" t="n"/>
      <c r="F14" s="15" t="n"/>
      <c r="G14" s="15" t="n"/>
      <c r="H14" s="15" t="n"/>
      <c r="I14" s="15" t="n"/>
    </row>
    <row r="15" ht="22" customHeight="1">
      <c r="A15" s="11" t="inlineStr">
        <is>
          <t>P11</t>
        </is>
      </c>
      <c r="B15" s="12" t="n"/>
      <c r="C15" s="7" t="n"/>
      <c r="D15" s="7" t="n"/>
      <c r="E15" s="7" t="n"/>
      <c r="F15" s="7" t="n"/>
      <c r="G15" s="7" t="n"/>
      <c r="H15" s="7" t="n"/>
      <c r="I15" s="7" t="n"/>
    </row>
    <row r="16" ht="22" customHeight="1">
      <c r="A16" s="13" t="inlineStr">
        <is>
          <t>P12</t>
        </is>
      </c>
      <c r="B16" s="14" t="n"/>
      <c r="C16" s="15" t="n"/>
      <c r="D16" s="15" t="n"/>
      <c r="E16" s="15" t="n"/>
      <c r="F16" s="15" t="n"/>
      <c r="G16" s="15" t="n"/>
      <c r="H16" s="15" t="n"/>
      <c r="I16" s="15" t="n"/>
    </row>
    <row r="17" ht="22" customHeight="1">
      <c r="A17" s="11" t="inlineStr">
        <is>
          <t>P13</t>
        </is>
      </c>
      <c r="B17" s="12" t="n"/>
      <c r="C17" s="7" t="n"/>
      <c r="D17" s="7" t="n"/>
      <c r="E17" s="7" t="n"/>
      <c r="F17" s="7" t="n"/>
      <c r="G17" s="7" t="n"/>
      <c r="H17" s="7" t="n"/>
      <c r="I17" s="7" t="n"/>
    </row>
    <row r="18" ht="22" customHeight="1">
      <c r="A18" s="13" t="inlineStr">
        <is>
          <t>P14</t>
        </is>
      </c>
      <c r="B18" s="14" t="n"/>
      <c r="C18" s="15" t="n"/>
      <c r="D18" s="15" t="n"/>
      <c r="E18" s="15" t="n"/>
      <c r="F18" s="15" t="n"/>
      <c r="G18" s="15" t="n"/>
      <c r="H18" s="15" t="n"/>
      <c r="I18" s="15" t="n"/>
    </row>
    <row r="19" ht="22" customHeight="1">
      <c r="A19" s="11" t="inlineStr">
        <is>
          <t>P15</t>
        </is>
      </c>
      <c r="B19" s="12" t="n"/>
      <c r="C19" s="7" t="n"/>
      <c r="D19" s="7" t="n"/>
      <c r="E19" s="7" t="n"/>
      <c r="F19" s="7" t="n"/>
      <c r="G19" s="7" t="n"/>
      <c r="H19" s="7" t="n"/>
      <c r="I19" s="7" t="n"/>
    </row>
    <row r="20" ht="22" customHeight="1">
      <c r="A20" s="13" t="inlineStr">
        <is>
          <t>P16</t>
        </is>
      </c>
      <c r="B20" s="14" t="n"/>
      <c r="C20" s="15" t="n"/>
      <c r="D20" s="15" t="n"/>
      <c r="E20" s="15" t="n"/>
      <c r="F20" s="15" t="n"/>
      <c r="G20" s="15" t="n"/>
      <c r="H20" s="15" t="n"/>
      <c r="I20" s="15" t="n"/>
    </row>
    <row r="21" ht="22" customHeight="1">
      <c r="A21" s="11" t="inlineStr">
        <is>
          <t>P17</t>
        </is>
      </c>
      <c r="B21" s="12" t="n"/>
      <c r="C21" s="7" t="n"/>
      <c r="D21" s="7" t="n"/>
      <c r="E21" s="7" t="n"/>
      <c r="F21" s="7" t="n"/>
      <c r="G21" s="7" t="n"/>
      <c r="H21" s="7" t="n"/>
      <c r="I21" s="7" t="n"/>
    </row>
    <row r="22" ht="22" customHeight="1">
      <c r="A22" s="13" t="inlineStr">
        <is>
          <t>P18</t>
        </is>
      </c>
      <c r="B22" s="14" t="n"/>
      <c r="C22" s="15" t="n"/>
      <c r="D22" s="15" t="n"/>
      <c r="E22" s="15" t="n"/>
      <c r="F22" s="15" t="n"/>
      <c r="G22" s="15" t="n"/>
      <c r="H22" s="15" t="n"/>
      <c r="I22" s="15" t="n"/>
    </row>
    <row r="23" ht="22" customHeight="1">
      <c r="A23" s="11" t="inlineStr">
        <is>
          <t>P19</t>
        </is>
      </c>
      <c r="B23" s="12" t="n"/>
      <c r="C23" s="7" t="n"/>
      <c r="D23" s="7" t="n"/>
      <c r="E23" s="7" t="n"/>
      <c r="F23" s="7" t="n"/>
      <c r="G23" s="7" t="n"/>
      <c r="H23" s="7" t="n"/>
      <c r="I23" s="7" t="n"/>
    </row>
    <row r="24" ht="22" customHeight="1">
      <c r="A24" s="13" t="inlineStr">
        <is>
          <t>P20</t>
        </is>
      </c>
      <c r="B24" s="14" t="n"/>
      <c r="C24" s="15" t="n"/>
      <c r="D24" s="15" t="n"/>
      <c r="E24" s="15" t="n"/>
      <c r="F24" s="15" t="n"/>
      <c r="G24" s="15" t="n"/>
      <c r="H24" s="15" t="n"/>
      <c r="I24" s="15" t="n"/>
    </row>
    <row r="25" ht="22" customHeight="1">
      <c r="A25" s="11" t="inlineStr">
        <is>
          <t>P21</t>
        </is>
      </c>
      <c r="B25" s="12" t="n"/>
      <c r="C25" s="7" t="n"/>
      <c r="D25" s="7" t="n"/>
      <c r="E25" s="7" t="n"/>
      <c r="F25" s="7" t="n"/>
      <c r="G25" s="7" t="n"/>
      <c r="H25" s="7" t="n"/>
      <c r="I25" s="7" t="n"/>
    </row>
    <row r="26" ht="22" customHeight="1">
      <c r="A26" s="13" t="inlineStr">
        <is>
          <t>P22</t>
        </is>
      </c>
      <c r="B26" s="14" t="n"/>
      <c r="C26" s="15" t="n"/>
      <c r="D26" s="15" t="n"/>
      <c r="E26" s="15" t="n"/>
      <c r="F26" s="15" t="n"/>
      <c r="G26" s="15" t="n"/>
      <c r="H26" s="15" t="n"/>
      <c r="I26" s="15" t="n"/>
    </row>
    <row r="27" ht="22" customHeight="1">
      <c r="A27" s="11" t="inlineStr">
        <is>
          <t>P23</t>
        </is>
      </c>
      <c r="B27" s="12" t="n"/>
      <c r="C27" s="7" t="n"/>
      <c r="D27" s="7" t="n"/>
      <c r="E27" s="7" t="n"/>
      <c r="F27" s="7" t="n"/>
      <c r="G27" s="7" t="n"/>
      <c r="H27" s="7" t="n"/>
      <c r="I27" s="7" t="n"/>
    </row>
    <row r="28" ht="22" customHeight="1">
      <c r="A28" s="13" t="inlineStr">
        <is>
          <t>P24</t>
        </is>
      </c>
      <c r="B28" s="14" t="n"/>
      <c r="C28" s="15" t="n"/>
      <c r="D28" s="15" t="n"/>
      <c r="E28" s="15" t="n"/>
      <c r="F28" s="15" t="n"/>
      <c r="G28" s="15" t="n"/>
      <c r="H28" s="15" t="n"/>
      <c r="I28" s="15" t="n"/>
    </row>
    <row r="29" ht="22" customHeight="1">
      <c r="A29" s="11" t="inlineStr">
        <is>
          <t>P25</t>
        </is>
      </c>
      <c r="B29" s="12" t="n"/>
      <c r="C29" s="7" t="n"/>
      <c r="D29" s="7" t="n"/>
      <c r="E29" s="7" t="n"/>
      <c r="F29" s="7" t="n"/>
      <c r="G29" s="7" t="n"/>
      <c r="H29" s="7" t="n"/>
      <c r="I29" s="7" t="n"/>
    </row>
    <row r="30" ht="22" customHeight="1">
      <c r="A30" s="13" t="inlineStr">
        <is>
          <t>P26</t>
        </is>
      </c>
      <c r="B30" s="14" t="n"/>
      <c r="C30" s="15" t="n"/>
      <c r="D30" s="15" t="n"/>
      <c r="E30" s="15" t="n"/>
      <c r="F30" s="15" t="n"/>
      <c r="G30" s="15" t="n"/>
      <c r="H30" s="15" t="n"/>
      <c r="I30" s="15" t="n"/>
    </row>
    <row r="31" ht="22" customHeight="1">
      <c r="A31" s="11" t="inlineStr">
        <is>
          <t>P27</t>
        </is>
      </c>
      <c r="B31" s="12" t="n"/>
      <c r="C31" s="7" t="n"/>
      <c r="D31" s="7" t="n"/>
      <c r="E31" s="7" t="n"/>
      <c r="F31" s="7" t="n"/>
      <c r="G31" s="7" t="n"/>
      <c r="H31" s="7" t="n"/>
      <c r="I31" s="7" t="n"/>
    </row>
    <row r="32" ht="22" customHeight="1">
      <c r="A32" s="13" t="inlineStr">
        <is>
          <t>P28</t>
        </is>
      </c>
      <c r="B32" s="14" t="n"/>
      <c r="C32" s="15" t="n"/>
      <c r="D32" s="15" t="n"/>
      <c r="E32" s="15" t="n"/>
      <c r="F32" s="15" t="n"/>
      <c r="G32" s="15" t="n"/>
      <c r="H32" s="15" t="n"/>
      <c r="I32" s="15" t="n"/>
    </row>
    <row r="33" ht="22" customHeight="1">
      <c r="A33" s="11" t="inlineStr">
        <is>
          <t>P29</t>
        </is>
      </c>
      <c r="B33" s="12" t="n"/>
      <c r="C33" s="7" t="n"/>
      <c r="D33" s="7" t="n"/>
      <c r="E33" s="7" t="n"/>
      <c r="F33" s="7" t="n"/>
      <c r="G33" s="7" t="n"/>
      <c r="H33" s="7" t="n"/>
      <c r="I33" s="7" t="n"/>
    </row>
    <row r="34" ht="22" customHeight="1">
      <c r="A34" s="13" t="inlineStr">
        <is>
          <t>P30</t>
        </is>
      </c>
      <c r="B34" s="14" t="n"/>
      <c r="C34" s="15" t="n"/>
      <c r="D34" s="15" t="n"/>
      <c r="E34" s="15" t="n"/>
      <c r="F34" s="15" t="n"/>
      <c r="G34" s="15" t="n"/>
      <c r="H34" s="15" t="n"/>
      <c r="I34" s="15" t="n"/>
    </row>
    <row r="35" ht="22" customHeight="1">
      <c r="A35" s="11" t="inlineStr">
        <is>
          <t>P31</t>
        </is>
      </c>
      <c r="B35" s="12" t="n"/>
      <c r="C35" s="7" t="n"/>
      <c r="D35" s="7" t="n"/>
      <c r="E35" s="7" t="n"/>
      <c r="F35" s="7" t="n"/>
      <c r="G35" s="7" t="n"/>
      <c r="H35" s="7" t="n"/>
      <c r="I35" s="7" t="n"/>
    </row>
    <row r="36" ht="22" customHeight="1">
      <c r="A36" s="13" t="inlineStr">
        <is>
          <t>P32</t>
        </is>
      </c>
      <c r="B36" s="14" t="n"/>
      <c r="C36" s="15" t="n"/>
      <c r="D36" s="15" t="n"/>
      <c r="E36" s="15" t="n"/>
      <c r="F36" s="15" t="n"/>
      <c r="G36" s="15" t="n"/>
      <c r="H36" s="15" t="n"/>
      <c r="I36" s="15" t="n"/>
    </row>
    <row r="37" ht="22" customHeight="1">
      <c r="A37" s="11" t="inlineStr">
        <is>
          <t>P33</t>
        </is>
      </c>
      <c r="B37" s="12" t="n"/>
      <c r="C37" s="7" t="n"/>
      <c r="D37" s="7" t="n"/>
      <c r="E37" s="7" t="n"/>
      <c r="F37" s="7" t="n"/>
      <c r="G37" s="7" t="n"/>
      <c r="H37" s="7" t="n"/>
      <c r="I37" s="7" t="n"/>
    </row>
    <row r="38" ht="22" customHeight="1">
      <c r="A38" s="13" t="inlineStr">
        <is>
          <t>P34</t>
        </is>
      </c>
      <c r="B38" s="14" t="n"/>
      <c r="C38" s="15" t="n"/>
      <c r="D38" s="15" t="n"/>
      <c r="E38" s="15" t="n"/>
      <c r="F38" s="15" t="n"/>
      <c r="G38" s="15" t="n"/>
      <c r="H38" s="15" t="n"/>
      <c r="I38" s="15" t="n"/>
    </row>
    <row r="39" ht="22" customHeight="1">
      <c r="A39" s="11" t="inlineStr">
        <is>
          <t>P35</t>
        </is>
      </c>
      <c r="B39" s="12" t="n"/>
      <c r="C39" s="7" t="n"/>
      <c r="D39" s="7" t="n"/>
      <c r="E39" s="7" t="n"/>
      <c r="F39" s="7" t="n"/>
      <c r="G39" s="7" t="n"/>
      <c r="H39" s="7" t="n"/>
      <c r="I39" s="7" t="n"/>
    </row>
    <row r="40" ht="22" customHeight="1">
      <c r="A40" s="13" t="inlineStr">
        <is>
          <t>P36</t>
        </is>
      </c>
      <c r="B40" s="14" t="n"/>
      <c r="C40" s="15" t="n"/>
      <c r="D40" s="15" t="n"/>
      <c r="E40" s="15" t="n"/>
      <c r="F40" s="15" t="n"/>
      <c r="G40" s="15" t="n"/>
      <c r="H40" s="15" t="n"/>
      <c r="I40" s="15" t="n"/>
    </row>
    <row r="41" ht="22" customHeight="1">
      <c r="A41" s="11" t="inlineStr">
        <is>
          <t>P37</t>
        </is>
      </c>
      <c r="B41" s="12" t="n"/>
      <c r="C41" s="7" t="n"/>
      <c r="D41" s="7" t="n"/>
      <c r="E41" s="7" t="n"/>
      <c r="F41" s="7" t="n"/>
      <c r="G41" s="7" t="n"/>
      <c r="H41" s="7" t="n"/>
      <c r="I41" s="7" t="n"/>
    </row>
    <row r="42" ht="22" customHeight="1">
      <c r="A42" s="13" t="inlineStr">
        <is>
          <t>P38</t>
        </is>
      </c>
      <c r="B42" s="14" t="n"/>
      <c r="C42" s="15" t="n"/>
      <c r="D42" s="15" t="n"/>
      <c r="E42" s="15" t="n"/>
      <c r="F42" s="15" t="n"/>
      <c r="G42" s="15" t="n"/>
      <c r="H42" s="15" t="n"/>
      <c r="I42" s="15" t="n"/>
    </row>
    <row r="43" ht="22" customHeight="1">
      <c r="A43" s="11" t="inlineStr">
        <is>
          <t>P39</t>
        </is>
      </c>
      <c r="B43" s="12" t="n"/>
      <c r="C43" s="7" t="n"/>
      <c r="D43" s="7" t="n"/>
      <c r="E43" s="7" t="n"/>
      <c r="F43" s="7" t="n"/>
      <c r="G43" s="7" t="n"/>
      <c r="H43" s="7" t="n"/>
      <c r="I43" s="7" t="n"/>
    </row>
    <row r="44" ht="22" customHeight="1">
      <c r="A44" s="13" t="inlineStr">
        <is>
          <t>P40</t>
        </is>
      </c>
      <c r="B44" s="14" t="n"/>
      <c r="C44" s="15" t="n"/>
      <c r="D44" s="15" t="n"/>
      <c r="E44" s="15" t="n"/>
      <c r="F44" s="15" t="n"/>
      <c r="G44" s="15" t="n"/>
      <c r="H44" s="15" t="n"/>
      <c r="I44" s="15" t="n"/>
    </row>
  </sheetData>
  <mergeCells count="2">
    <mergeCell ref="A1:I1"/>
    <mergeCell ref="A2:I2"/>
  </mergeCells>
  <dataValidations count="3">
    <dataValidation sqref="E5:E44" showDropDown="0" showInputMessage="0" showErrorMessage="0" allowBlank="1" type="list">
      <formula1>"Nhân viên,Quản lý trực tiếp,Quản lý cấp 2 - HOD,HR"</formula1>
    </dataValidation>
    <dataValidation sqref="F5:F44" showDropDown="0" showInputMessage="0" showErrorMessage="0" allowBlank="1" type="list">
      <formula1>"Dưới 1 năm,1 đến 3 năm,Trên 3 năm"</formula1>
    </dataValidation>
    <dataValidation sqref="H5:H44" showDropDown="0" showInputMessage="0" showErrorMessage="0" allowBlank="1" type="list">
      <formula1>"Trực tiếp,Online - có chia sẻ màn hình,Tự trải nghiệm - không có người quan sát"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42" customWidth="1" min="3" max="3"/>
    <col width="26" customWidth="1" min="4" max="4"/>
    <col width="14" customWidth="1" min="5" max="5"/>
    <col width="14" customWidth="1" min="6" max="6"/>
    <col width="46" customWidth="1" min="7" max="7"/>
    <col width="46" customWidth="1" min="8" max="8"/>
  </cols>
  <sheetData>
    <row r="1" ht="26" customHeight="1">
      <c r="A1" s="8" t="inlineStr">
        <is>
          <t>Nhật ký nhiệm vụ</t>
        </is>
      </c>
    </row>
    <row r="2" ht="18" customHeight="1">
      <c r="A2" s="9" t="inlineStr">
        <is>
          <t>Người quan sát điền trong lúc test. Mỗi dòng là một người làm một nhiệm vụ. Cột Trích lời là câu nói nguyên văn của người dùng, càng thô càng tốt.</t>
        </is>
      </c>
    </row>
    <row r="4" ht="34" customHeight="1">
      <c r="A4" s="10" t="inlineStr">
        <is>
          <t>Mã người</t>
        </is>
      </c>
      <c r="B4" s="10" t="inlineStr">
        <is>
          <t>Mã nhiệm vụ</t>
        </is>
      </c>
      <c r="C4" s="10" t="inlineStr">
        <is>
          <t>Nhiệm vụ</t>
        </is>
      </c>
      <c r="D4" s="10" t="inlineStr">
        <is>
          <t>Kết quả</t>
        </is>
      </c>
      <c r="E4" s="10" t="inlineStr">
        <is>
          <t>Thời gian làm (giây)</t>
        </is>
      </c>
      <c r="F4" s="10" t="inlineStr">
        <is>
          <t>Số lần phải gợi ý</t>
        </is>
      </c>
      <c r="G4" s="10" t="inlineStr">
        <is>
          <t>Chỗ vướng quan sát được</t>
        </is>
      </c>
      <c r="H4" s="10" t="inlineStr">
        <is>
          <t>Trích lời người dùng</t>
        </is>
      </c>
    </row>
    <row r="5" ht="30" customHeight="1">
      <c r="A5" s="12" t="n"/>
      <c r="B5" s="12" t="n"/>
      <c r="C5" s="16">
        <f>IFERROR(IF($B5="","",VLOOKUP($B5,Lists!$H$2:$I$15,2,FALSE)),"")</f>
        <v/>
      </c>
      <c r="D5" s="7" t="n"/>
      <c r="E5" s="7" t="n"/>
      <c r="F5" s="7" t="n"/>
      <c r="G5" s="7" t="n"/>
      <c r="H5" s="7" t="n"/>
    </row>
    <row r="6" ht="30" customHeight="1">
      <c r="A6" s="14" t="n"/>
      <c r="B6" s="14" t="n"/>
      <c r="C6" s="17">
        <f>IFERROR(IF($B6="","",VLOOKUP($B6,Lists!$H$2:$I$15,2,FALSE)),"")</f>
        <v/>
      </c>
      <c r="D6" s="15" t="n"/>
      <c r="E6" s="15" t="n"/>
      <c r="F6" s="15" t="n"/>
      <c r="G6" s="15" t="n"/>
      <c r="H6" s="15" t="n"/>
    </row>
    <row r="7" ht="30" customHeight="1">
      <c r="A7" s="12" t="n"/>
      <c r="B7" s="12" t="n"/>
      <c r="C7" s="16">
        <f>IFERROR(IF($B7="","",VLOOKUP($B7,Lists!$H$2:$I$15,2,FALSE)),"")</f>
        <v/>
      </c>
      <c r="D7" s="7" t="n"/>
      <c r="E7" s="7" t="n"/>
      <c r="F7" s="7" t="n"/>
      <c r="G7" s="7" t="n"/>
      <c r="H7" s="7" t="n"/>
    </row>
    <row r="8" ht="30" customHeight="1">
      <c r="A8" s="14" t="n"/>
      <c r="B8" s="14" t="n"/>
      <c r="C8" s="17">
        <f>IFERROR(IF($B8="","",VLOOKUP($B8,Lists!$H$2:$I$15,2,FALSE)),"")</f>
        <v/>
      </c>
      <c r="D8" s="15" t="n"/>
      <c r="E8" s="15" t="n"/>
      <c r="F8" s="15" t="n"/>
      <c r="G8" s="15" t="n"/>
      <c r="H8" s="15" t="n"/>
    </row>
    <row r="9" ht="30" customHeight="1">
      <c r="A9" s="12" t="n"/>
      <c r="B9" s="12" t="n"/>
      <c r="C9" s="16">
        <f>IFERROR(IF($B9="","",VLOOKUP($B9,Lists!$H$2:$I$15,2,FALSE)),"")</f>
        <v/>
      </c>
      <c r="D9" s="7" t="n"/>
      <c r="E9" s="7" t="n"/>
      <c r="F9" s="7" t="n"/>
      <c r="G9" s="7" t="n"/>
      <c r="H9" s="7" t="n"/>
    </row>
    <row r="10" ht="30" customHeight="1">
      <c r="A10" s="14" t="n"/>
      <c r="B10" s="14" t="n"/>
      <c r="C10" s="17">
        <f>IFERROR(IF($B10="","",VLOOKUP($B10,Lists!$H$2:$I$15,2,FALSE)),"")</f>
        <v/>
      </c>
      <c r="D10" s="15" t="n"/>
      <c r="E10" s="15" t="n"/>
      <c r="F10" s="15" t="n"/>
      <c r="G10" s="15" t="n"/>
      <c r="H10" s="15" t="n"/>
    </row>
    <row r="11" ht="30" customHeight="1">
      <c r="A11" s="12" t="n"/>
      <c r="B11" s="12" t="n"/>
      <c r="C11" s="16">
        <f>IFERROR(IF($B11="","",VLOOKUP($B11,Lists!$H$2:$I$15,2,FALSE)),"")</f>
        <v/>
      </c>
      <c r="D11" s="7" t="n"/>
      <c r="E11" s="7" t="n"/>
      <c r="F11" s="7" t="n"/>
      <c r="G11" s="7" t="n"/>
      <c r="H11" s="7" t="n"/>
    </row>
    <row r="12" ht="30" customHeight="1">
      <c r="A12" s="14" t="n"/>
      <c r="B12" s="14" t="n"/>
      <c r="C12" s="17">
        <f>IFERROR(IF($B12="","",VLOOKUP($B12,Lists!$H$2:$I$15,2,FALSE)),"")</f>
        <v/>
      </c>
      <c r="D12" s="15" t="n"/>
      <c r="E12" s="15" t="n"/>
      <c r="F12" s="15" t="n"/>
      <c r="G12" s="15" t="n"/>
      <c r="H12" s="15" t="n"/>
    </row>
    <row r="13" ht="30" customHeight="1">
      <c r="A13" s="12" t="n"/>
      <c r="B13" s="12" t="n"/>
      <c r="C13" s="16">
        <f>IFERROR(IF($B13="","",VLOOKUP($B13,Lists!$H$2:$I$15,2,FALSE)),"")</f>
        <v/>
      </c>
      <c r="D13" s="7" t="n"/>
      <c r="E13" s="7" t="n"/>
      <c r="F13" s="7" t="n"/>
      <c r="G13" s="7" t="n"/>
      <c r="H13" s="7" t="n"/>
    </row>
    <row r="14" ht="30" customHeight="1">
      <c r="A14" s="14" t="n"/>
      <c r="B14" s="14" t="n"/>
      <c r="C14" s="17">
        <f>IFERROR(IF($B14="","",VLOOKUP($B14,Lists!$H$2:$I$15,2,FALSE)),"")</f>
        <v/>
      </c>
      <c r="D14" s="15" t="n"/>
      <c r="E14" s="15" t="n"/>
      <c r="F14" s="15" t="n"/>
      <c r="G14" s="15" t="n"/>
      <c r="H14" s="15" t="n"/>
    </row>
    <row r="15" ht="30" customHeight="1">
      <c r="A15" s="12" t="n"/>
      <c r="B15" s="12" t="n"/>
      <c r="C15" s="16">
        <f>IFERROR(IF($B15="","",VLOOKUP($B15,Lists!$H$2:$I$15,2,FALSE)),"")</f>
        <v/>
      </c>
      <c r="D15" s="7" t="n"/>
      <c r="E15" s="7" t="n"/>
      <c r="F15" s="7" t="n"/>
      <c r="G15" s="7" t="n"/>
      <c r="H15" s="7" t="n"/>
    </row>
    <row r="16" ht="30" customHeight="1">
      <c r="A16" s="14" t="n"/>
      <c r="B16" s="14" t="n"/>
      <c r="C16" s="17">
        <f>IFERROR(IF($B16="","",VLOOKUP($B16,Lists!$H$2:$I$15,2,FALSE)),"")</f>
        <v/>
      </c>
      <c r="D16" s="15" t="n"/>
      <c r="E16" s="15" t="n"/>
      <c r="F16" s="15" t="n"/>
      <c r="G16" s="15" t="n"/>
      <c r="H16" s="15" t="n"/>
    </row>
    <row r="17" ht="30" customHeight="1">
      <c r="A17" s="12" t="n"/>
      <c r="B17" s="12" t="n"/>
      <c r="C17" s="16">
        <f>IFERROR(IF($B17="","",VLOOKUP($B17,Lists!$H$2:$I$15,2,FALSE)),"")</f>
        <v/>
      </c>
      <c r="D17" s="7" t="n"/>
      <c r="E17" s="7" t="n"/>
      <c r="F17" s="7" t="n"/>
      <c r="G17" s="7" t="n"/>
      <c r="H17" s="7" t="n"/>
    </row>
    <row r="18" ht="30" customHeight="1">
      <c r="A18" s="14" t="n"/>
      <c r="B18" s="14" t="n"/>
      <c r="C18" s="17">
        <f>IFERROR(IF($B18="","",VLOOKUP($B18,Lists!$H$2:$I$15,2,FALSE)),"")</f>
        <v/>
      </c>
      <c r="D18" s="15" t="n"/>
      <c r="E18" s="15" t="n"/>
      <c r="F18" s="15" t="n"/>
      <c r="G18" s="15" t="n"/>
      <c r="H18" s="15" t="n"/>
    </row>
    <row r="19" ht="30" customHeight="1">
      <c r="A19" s="12" t="n"/>
      <c r="B19" s="12" t="n"/>
      <c r="C19" s="16">
        <f>IFERROR(IF($B19="","",VLOOKUP($B19,Lists!$H$2:$I$15,2,FALSE)),"")</f>
        <v/>
      </c>
      <c r="D19" s="7" t="n"/>
      <c r="E19" s="7" t="n"/>
      <c r="F19" s="7" t="n"/>
      <c r="G19" s="7" t="n"/>
      <c r="H19" s="7" t="n"/>
    </row>
    <row r="20" ht="30" customHeight="1">
      <c r="A20" s="14" t="n"/>
      <c r="B20" s="14" t="n"/>
      <c r="C20" s="17">
        <f>IFERROR(IF($B20="","",VLOOKUP($B20,Lists!$H$2:$I$15,2,FALSE)),"")</f>
        <v/>
      </c>
      <c r="D20" s="15" t="n"/>
      <c r="E20" s="15" t="n"/>
      <c r="F20" s="15" t="n"/>
      <c r="G20" s="15" t="n"/>
      <c r="H20" s="15" t="n"/>
    </row>
    <row r="21" ht="30" customHeight="1">
      <c r="A21" s="12" t="n"/>
      <c r="B21" s="12" t="n"/>
      <c r="C21" s="16">
        <f>IFERROR(IF($B21="","",VLOOKUP($B21,Lists!$H$2:$I$15,2,FALSE)),"")</f>
        <v/>
      </c>
      <c r="D21" s="7" t="n"/>
      <c r="E21" s="7" t="n"/>
      <c r="F21" s="7" t="n"/>
      <c r="G21" s="7" t="n"/>
      <c r="H21" s="7" t="n"/>
    </row>
    <row r="22" ht="30" customHeight="1">
      <c r="A22" s="14" t="n"/>
      <c r="B22" s="14" t="n"/>
      <c r="C22" s="17">
        <f>IFERROR(IF($B22="","",VLOOKUP($B22,Lists!$H$2:$I$15,2,FALSE)),"")</f>
        <v/>
      </c>
      <c r="D22" s="15" t="n"/>
      <c r="E22" s="15" t="n"/>
      <c r="F22" s="15" t="n"/>
      <c r="G22" s="15" t="n"/>
      <c r="H22" s="15" t="n"/>
    </row>
    <row r="23" ht="30" customHeight="1">
      <c r="A23" s="12" t="n"/>
      <c r="B23" s="12" t="n"/>
      <c r="C23" s="16">
        <f>IFERROR(IF($B23="","",VLOOKUP($B23,Lists!$H$2:$I$15,2,FALSE)),"")</f>
        <v/>
      </c>
      <c r="D23" s="7" t="n"/>
      <c r="E23" s="7" t="n"/>
      <c r="F23" s="7" t="n"/>
      <c r="G23" s="7" t="n"/>
      <c r="H23" s="7" t="n"/>
    </row>
    <row r="24" ht="30" customHeight="1">
      <c r="A24" s="14" t="n"/>
      <c r="B24" s="14" t="n"/>
      <c r="C24" s="17">
        <f>IFERROR(IF($B24="","",VLOOKUP($B24,Lists!$H$2:$I$15,2,FALSE)),"")</f>
        <v/>
      </c>
      <c r="D24" s="15" t="n"/>
      <c r="E24" s="15" t="n"/>
      <c r="F24" s="15" t="n"/>
      <c r="G24" s="15" t="n"/>
      <c r="H24" s="15" t="n"/>
    </row>
    <row r="25" ht="30" customHeight="1">
      <c r="A25" s="12" t="n"/>
      <c r="B25" s="12" t="n"/>
      <c r="C25" s="16">
        <f>IFERROR(IF($B25="","",VLOOKUP($B25,Lists!$H$2:$I$15,2,FALSE)),"")</f>
        <v/>
      </c>
      <c r="D25" s="7" t="n"/>
      <c r="E25" s="7" t="n"/>
      <c r="F25" s="7" t="n"/>
      <c r="G25" s="7" t="n"/>
      <c r="H25" s="7" t="n"/>
    </row>
    <row r="26" ht="30" customHeight="1">
      <c r="A26" s="14" t="n"/>
      <c r="B26" s="14" t="n"/>
      <c r="C26" s="17">
        <f>IFERROR(IF($B26="","",VLOOKUP($B26,Lists!$H$2:$I$15,2,FALSE)),"")</f>
        <v/>
      </c>
      <c r="D26" s="15" t="n"/>
      <c r="E26" s="15" t="n"/>
      <c r="F26" s="15" t="n"/>
      <c r="G26" s="15" t="n"/>
      <c r="H26" s="15" t="n"/>
    </row>
    <row r="27" ht="30" customHeight="1">
      <c r="A27" s="12" t="n"/>
      <c r="B27" s="12" t="n"/>
      <c r="C27" s="16">
        <f>IFERROR(IF($B27="","",VLOOKUP($B27,Lists!$H$2:$I$15,2,FALSE)),"")</f>
        <v/>
      </c>
      <c r="D27" s="7" t="n"/>
      <c r="E27" s="7" t="n"/>
      <c r="F27" s="7" t="n"/>
      <c r="G27" s="7" t="n"/>
      <c r="H27" s="7" t="n"/>
    </row>
    <row r="28" ht="30" customHeight="1">
      <c r="A28" s="14" t="n"/>
      <c r="B28" s="14" t="n"/>
      <c r="C28" s="17">
        <f>IFERROR(IF($B28="","",VLOOKUP($B28,Lists!$H$2:$I$15,2,FALSE)),"")</f>
        <v/>
      </c>
      <c r="D28" s="15" t="n"/>
      <c r="E28" s="15" t="n"/>
      <c r="F28" s="15" t="n"/>
      <c r="G28" s="15" t="n"/>
      <c r="H28" s="15" t="n"/>
    </row>
    <row r="29" ht="30" customHeight="1">
      <c r="A29" s="12" t="n"/>
      <c r="B29" s="12" t="n"/>
      <c r="C29" s="16">
        <f>IFERROR(IF($B29="","",VLOOKUP($B29,Lists!$H$2:$I$15,2,FALSE)),"")</f>
        <v/>
      </c>
      <c r="D29" s="7" t="n"/>
      <c r="E29" s="7" t="n"/>
      <c r="F29" s="7" t="n"/>
      <c r="G29" s="7" t="n"/>
      <c r="H29" s="7" t="n"/>
    </row>
    <row r="30" ht="30" customHeight="1">
      <c r="A30" s="14" t="n"/>
      <c r="B30" s="14" t="n"/>
      <c r="C30" s="17">
        <f>IFERROR(IF($B30="","",VLOOKUP($B30,Lists!$H$2:$I$15,2,FALSE)),"")</f>
        <v/>
      </c>
      <c r="D30" s="15" t="n"/>
      <c r="E30" s="15" t="n"/>
      <c r="F30" s="15" t="n"/>
      <c r="G30" s="15" t="n"/>
      <c r="H30" s="15" t="n"/>
    </row>
    <row r="31" ht="30" customHeight="1">
      <c r="A31" s="12" t="n"/>
      <c r="B31" s="12" t="n"/>
      <c r="C31" s="16">
        <f>IFERROR(IF($B31="","",VLOOKUP($B31,Lists!$H$2:$I$15,2,FALSE)),"")</f>
        <v/>
      </c>
      <c r="D31" s="7" t="n"/>
      <c r="E31" s="7" t="n"/>
      <c r="F31" s="7" t="n"/>
      <c r="G31" s="7" t="n"/>
      <c r="H31" s="7" t="n"/>
    </row>
    <row r="32" ht="30" customHeight="1">
      <c r="A32" s="14" t="n"/>
      <c r="B32" s="14" t="n"/>
      <c r="C32" s="17">
        <f>IFERROR(IF($B32="","",VLOOKUP($B32,Lists!$H$2:$I$15,2,FALSE)),"")</f>
        <v/>
      </c>
      <c r="D32" s="15" t="n"/>
      <c r="E32" s="15" t="n"/>
      <c r="F32" s="15" t="n"/>
      <c r="G32" s="15" t="n"/>
      <c r="H32" s="15" t="n"/>
    </row>
    <row r="33" ht="30" customHeight="1">
      <c r="A33" s="12" t="n"/>
      <c r="B33" s="12" t="n"/>
      <c r="C33" s="16">
        <f>IFERROR(IF($B33="","",VLOOKUP($B33,Lists!$H$2:$I$15,2,FALSE)),"")</f>
        <v/>
      </c>
      <c r="D33" s="7" t="n"/>
      <c r="E33" s="7" t="n"/>
      <c r="F33" s="7" t="n"/>
      <c r="G33" s="7" t="n"/>
      <c r="H33" s="7" t="n"/>
    </row>
    <row r="34" ht="30" customHeight="1">
      <c r="A34" s="14" t="n"/>
      <c r="B34" s="14" t="n"/>
      <c r="C34" s="17">
        <f>IFERROR(IF($B34="","",VLOOKUP($B34,Lists!$H$2:$I$15,2,FALSE)),"")</f>
        <v/>
      </c>
      <c r="D34" s="15" t="n"/>
      <c r="E34" s="15" t="n"/>
      <c r="F34" s="15" t="n"/>
      <c r="G34" s="15" t="n"/>
      <c r="H34" s="15" t="n"/>
    </row>
    <row r="35" ht="30" customHeight="1">
      <c r="A35" s="12" t="n"/>
      <c r="B35" s="12" t="n"/>
      <c r="C35" s="16">
        <f>IFERROR(IF($B35="","",VLOOKUP($B35,Lists!$H$2:$I$15,2,FALSE)),"")</f>
        <v/>
      </c>
      <c r="D35" s="7" t="n"/>
      <c r="E35" s="7" t="n"/>
      <c r="F35" s="7" t="n"/>
      <c r="G35" s="7" t="n"/>
      <c r="H35" s="7" t="n"/>
    </row>
    <row r="36" ht="30" customHeight="1">
      <c r="A36" s="14" t="n"/>
      <c r="B36" s="14" t="n"/>
      <c r="C36" s="17">
        <f>IFERROR(IF($B36="","",VLOOKUP($B36,Lists!$H$2:$I$15,2,FALSE)),"")</f>
        <v/>
      </c>
      <c r="D36" s="15" t="n"/>
      <c r="E36" s="15" t="n"/>
      <c r="F36" s="15" t="n"/>
      <c r="G36" s="15" t="n"/>
      <c r="H36" s="15" t="n"/>
    </row>
    <row r="37" ht="30" customHeight="1">
      <c r="A37" s="12" t="n"/>
      <c r="B37" s="12" t="n"/>
      <c r="C37" s="16">
        <f>IFERROR(IF($B37="","",VLOOKUP($B37,Lists!$H$2:$I$15,2,FALSE)),"")</f>
        <v/>
      </c>
      <c r="D37" s="7" t="n"/>
      <c r="E37" s="7" t="n"/>
      <c r="F37" s="7" t="n"/>
      <c r="G37" s="7" t="n"/>
      <c r="H37" s="7" t="n"/>
    </row>
    <row r="38" ht="30" customHeight="1">
      <c r="A38" s="14" t="n"/>
      <c r="B38" s="14" t="n"/>
      <c r="C38" s="17">
        <f>IFERROR(IF($B38="","",VLOOKUP($B38,Lists!$H$2:$I$15,2,FALSE)),"")</f>
        <v/>
      </c>
      <c r="D38" s="15" t="n"/>
      <c r="E38" s="15" t="n"/>
      <c r="F38" s="15" t="n"/>
      <c r="G38" s="15" t="n"/>
      <c r="H38" s="15" t="n"/>
    </row>
    <row r="39" ht="30" customHeight="1">
      <c r="A39" s="12" t="n"/>
      <c r="B39" s="12" t="n"/>
      <c r="C39" s="16">
        <f>IFERROR(IF($B39="","",VLOOKUP($B39,Lists!$H$2:$I$15,2,FALSE)),"")</f>
        <v/>
      </c>
      <c r="D39" s="7" t="n"/>
      <c r="E39" s="7" t="n"/>
      <c r="F39" s="7" t="n"/>
      <c r="G39" s="7" t="n"/>
      <c r="H39" s="7" t="n"/>
    </row>
    <row r="40" ht="30" customHeight="1">
      <c r="A40" s="14" t="n"/>
      <c r="B40" s="14" t="n"/>
      <c r="C40" s="17">
        <f>IFERROR(IF($B40="","",VLOOKUP($B40,Lists!$H$2:$I$15,2,FALSE)),"")</f>
        <v/>
      </c>
      <c r="D40" s="15" t="n"/>
      <c r="E40" s="15" t="n"/>
      <c r="F40" s="15" t="n"/>
      <c r="G40" s="15" t="n"/>
      <c r="H40" s="15" t="n"/>
    </row>
    <row r="41" ht="30" customHeight="1">
      <c r="A41" s="12" t="n"/>
      <c r="B41" s="12" t="n"/>
      <c r="C41" s="16">
        <f>IFERROR(IF($B41="","",VLOOKUP($B41,Lists!$H$2:$I$15,2,FALSE)),"")</f>
        <v/>
      </c>
      <c r="D41" s="7" t="n"/>
      <c r="E41" s="7" t="n"/>
      <c r="F41" s="7" t="n"/>
      <c r="G41" s="7" t="n"/>
      <c r="H41" s="7" t="n"/>
    </row>
    <row r="42" ht="30" customHeight="1">
      <c r="A42" s="14" t="n"/>
      <c r="B42" s="14" t="n"/>
      <c r="C42" s="17">
        <f>IFERROR(IF($B42="","",VLOOKUP($B42,Lists!$H$2:$I$15,2,FALSE)),"")</f>
        <v/>
      </c>
      <c r="D42" s="15" t="n"/>
      <c r="E42" s="15" t="n"/>
      <c r="F42" s="15" t="n"/>
      <c r="G42" s="15" t="n"/>
      <c r="H42" s="15" t="n"/>
    </row>
    <row r="43" ht="30" customHeight="1">
      <c r="A43" s="12" t="n"/>
      <c r="B43" s="12" t="n"/>
      <c r="C43" s="16">
        <f>IFERROR(IF($B43="","",VLOOKUP($B43,Lists!$H$2:$I$15,2,FALSE)),"")</f>
        <v/>
      </c>
      <c r="D43" s="7" t="n"/>
      <c r="E43" s="7" t="n"/>
      <c r="F43" s="7" t="n"/>
      <c r="G43" s="7" t="n"/>
      <c r="H43" s="7" t="n"/>
    </row>
    <row r="44" ht="30" customHeight="1">
      <c r="A44" s="14" t="n"/>
      <c r="B44" s="14" t="n"/>
      <c r="C44" s="17">
        <f>IFERROR(IF($B44="","",VLOOKUP($B44,Lists!$H$2:$I$15,2,FALSE)),"")</f>
        <v/>
      </c>
      <c r="D44" s="15" t="n"/>
      <c r="E44" s="15" t="n"/>
      <c r="F44" s="15" t="n"/>
      <c r="G44" s="15" t="n"/>
      <c r="H44" s="15" t="n"/>
    </row>
    <row r="45" ht="30" customHeight="1">
      <c r="A45" s="12" t="n"/>
      <c r="B45" s="12" t="n"/>
      <c r="C45" s="16">
        <f>IFERROR(IF($B45="","",VLOOKUP($B45,Lists!$H$2:$I$15,2,FALSE)),"")</f>
        <v/>
      </c>
      <c r="D45" s="7" t="n"/>
      <c r="E45" s="7" t="n"/>
      <c r="F45" s="7" t="n"/>
      <c r="G45" s="7" t="n"/>
      <c r="H45" s="7" t="n"/>
    </row>
    <row r="46" ht="30" customHeight="1">
      <c r="A46" s="14" t="n"/>
      <c r="B46" s="14" t="n"/>
      <c r="C46" s="17">
        <f>IFERROR(IF($B46="","",VLOOKUP($B46,Lists!$H$2:$I$15,2,FALSE)),"")</f>
        <v/>
      </c>
      <c r="D46" s="15" t="n"/>
      <c r="E46" s="15" t="n"/>
      <c r="F46" s="15" t="n"/>
      <c r="G46" s="15" t="n"/>
      <c r="H46" s="15" t="n"/>
    </row>
    <row r="47" ht="30" customHeight="1">
      <c r="A47" s="12" t="n"/>
      <c r="B47" s="12" t="n"/>
      <c r="C47" s="16">
        <f>IFERROR(IF($B47="","",VLOOKUP($B47,Lists!$H$2:$I$15,2,FALSE)),"")</f>
        <v/>
      </c>
      <c r="D47" s="7" t="n"/>
      <c r="E47" s="7" t="n"/>
      <c r="F47" s="7" t="n"/>
      <c r="G47" s="7" t="n"/>
      <c r="H47" s="7" t="n"/>
    </row>
    <row r="48" ht="30" customHeight="1">
      <c r="A48" s="14" t="n"/>
      <c r="B48" s="14" t="n"/>
      <c r="C48" s="17">
        <f>IFERROR(IF($B48="","",VLOOKUP($B48,Lists!$H$2:$I$15,2,FALSE)),"")</f>
        <v/>
      </c>
      <c r="D48" s="15" t="n"/>
      <c r="E48" s="15" t="n"/>
      <c r="F48" s="15" t="n"/>
      <c r="G48" s="15" t="n"/>
      <c r="H48" s="15" t="n"/>
    </row>
    <row r="49" ht="30" customHeight="1">
      <c r="A49" s="12" t="n"/>
      <c r="B49" s="12" t="n"/>
      <c r="C49" s="16">
        <f>IFERROR(IF($B49="","",VLOOKUP($B49,Lists!$H$2:$I$15,2,FALSE)),"")</f>
        <v/>
      </c>
      <c r="D49" s="7" t="n"/>
      <c r="E49" s="7" t="n"/>
      <c r="F49" s="7" t="n"/>
      <c r="G49" s="7" t="n"/>
      <c r="H49" s="7" t="n"/>
    </row>
    <row r="50" ht="30" customHeight="1">
      <c r="A50" s="14" t="n"/>
      <c r="B50" s="14" t="n"/>
      <c r="C50" s="17">
        <f>IFERROR(IF($B50="","",VLOOKUP($B50,Lists!$H$2:$I$15,2,FALSE)),"")</f>
        <v/>
      </c>
      <c r="D50" s="15" t="n"/>
      <c r="E50" s="15" t="n"/>
      <c r="F50" s="15" t="n"/>
      <c r="G50" s="15" t="n"/>
      <c r="H50" s="15" t="n"/>
    </row>
    <row r="51" ht="30" customHeight="1">
      <c r="A51" s="12" t="n"/>
      <c r="B51" s="12" t="n"/>
      <c r="C51" s="16">
        <f>IFERROR(IF($B51="","",VLOOKUP($B51,Lists!$H$2:$I$15,2,FALSE)),"")</f>
        <v/>
      </c>
      <c r="D51" s="7" t="n"/>
      <c r="E51" s="7" t="n"/>
      <c r="F51" s="7" t="n"/>
      <c r="G51" s="7" t="n"/>
      <c r="H51" s="7" t="n"/>
    </row>
    <row r="52" ht="30" customHeight="1">
      <c r="A52" s="14" t="n"/>
      <c r="B52" s="14" t="n"/>
      <c r="C52" s="17">
        <f>IFERROR(IF($B52="","",VLOOKUP($B52,Lists!$H$2:$I$15,2,FALSE)),"")</f>
        <v/>
      </c>
      <c r="D52" s="15" t="n"/>
      <c r="E52" s="15" t="n"/>
      <c r="F52" s="15" t="n"/>
      <c r="G52" s="15" t="n"/>
      <c r="H52" s="15" t="n"/>
    </row>
    <row r="53" ht="30" customHeight="1">
      <c r="A53" s="12" t="n"/>
      <c r="B53" s="12" t="n"/>
      <c r="C53" s="16">
        <f>IFERROR(IF($B53="","",VLOOKUP($B53,Lists!$H$2:$I$15,2,FALSE)),"")</f>
        <v/>
      </c>
      <c r="D53" s="7" t="n"/>
      <c r="E53" s="7" t="n"/>
      <c r="F53" s="7" t="n"/>
      <c r="G53" s="7" t="n"/>
      <c r="H53" s="7" t="n"/>
    </row>
    <row r="54" ht="30" customHeight="1">
      <c r="A54" s="14" t="n"/>
      <c r="B54" s="14" t="n"/>
      <c r="C54" s="17">
        <f>IFERROR(IF($B54="","",VLOOKUP($B54,Lists!$H$2:$I$15,2,FALSE)),"")</f>
        <v/>
      </c>
      <c r="D54" s="15" t="n"/>
      <c r="E54" s="15" t="n"/>
      <c r="F54" s="15" t="n"/>
      <c r="G54" s="15" t="n"/>
      <c r="H54" s="15" t="n"/>
    </row>
    <row r="55" ht="30" customHeight="1">
      <c r="A55" s="12" t="n"/>
      <c r="B55" s="12" t="n"/>
      <c r="C55" s="16">
        <f>IFERROR(IF($B55="","",VLOOKUP($B55,Lists!$H$2:$I$15,2,FALSE)),"")</f>
        <v/>
      </c>
      <c r="D55" s="7" t="n"/>
      <c r="E55" s="7" t="n"/>
      <c r="F55" s="7" t="n"/>
      <c r="G55" s="7" t="n"/>
      <c r="H55" s="7" t="n"/>
    </row>
    <row r="56" ht="30" customHeight="1">
      <c r="A56" s="14" t="n"/>
      <c r="B56" s="14" t="n"/>
      <c r="C56" s="17">
        <f>IFERROR(IF($B56="","",VLOOKUP($B56,Lists!$H$2:$I$15,2,FALSE)),"")</f>
        <v/>
      </c>
      <c r="D56" s="15" t="n"/>
      <c r="E56" s="15" t="n"/>
      <c r="F56" s="15" t="n"/>
      <c r="G56" s="15" t="n"/>
      <c r="H56" s="15" t="n"/>
    </row>
    <row r="57" ht="30" customHeight="1">
      <c r="A57" s="12" t="n"/>
      <c r="B57" s="12" t="n"/>
      <c r="C57" s="16">
        <f>IFERROR(IF($B57="","",VLOOKUP($B57,Lists!$H$2:$I$15,2,FALSE)),"")</f>
        <v/>
      </c>
      <c r="D57" s="7" t="n"/>
      <c r="E57" s="7" t="n"/>
      <c r="F57" s="7" t="n"/>
      <c r="G57" s="7" t="n"/>
      <c r="H57" s="7" t="n"/>
    </row>
    <row r="58" ht="30" customHeight="1">
      <c r="A58" s="14" t="n"/>
      <c r="B58" s="14" t="n"/>
      <c r="C58" s="17">
        <f>IFERROR(IF($B58="","",VLOOKUP($B58,Lists!$H$2:$I$15,2,FALSE)),"")</f>
        <v/>
      </c>
      <c r="D58" s="15" t="n"/>
      <c r="E58" s="15" t="n"/>
      <c r="F58" s="15" t="n"/>
      <c r="G58" s="15" t="n"/>
      <c r="H58" s="15" t="n"/>
    </row>
    <row r="59" ht="30" customHeight="1">
      <c r="A59" s="12" t="n"/>
      <c r="B59" s="12" t="n"/>
      <c r="C59" s="16">
        <f>IFERROR(IF($B59="","",VLOOKUP($B59,Lists!$H$2:$I$15,2,FALSE)),"")</f>
        <v/>
      </c>
      <c r="D59" s="7" t="n"/>
      <c r="E59" s="7" t="n"/>
      <c r="F59" s="7" t="n"/>
      <c r="G59" s="7" t="n"/>
      <c r="H59" s="7" t="n"/>
    </row>
    <row r="60" ht="30" customHeight="1">
      <c r="A60" s="14" t="n"/>
      <c r="B60" s="14" t="n"/>
      <c r="C60" s="17">
        <f>IFERROR(IF($B60="","",VLOOKUP($B60,Lists!$H$2:$I$15,2,FALSE)),"")</f>
        <v/>
      </c>
      <c r="D60" s="15" t="n"/>
      <c r="E60" s="15" t="n"/>
      <c r="F60" s="15" t="n"/>
      <c r="G60" s="15" t="n"/>
      <c r="H60" s="15" t="n"/>
    </row>
    <row r="61" ht="30" customHeight="1">
      <c r="A61" s="12" t="n"/>
      <c r="B61" s="12" t="n"/>
      <c r="C61" s="16">
        <f>IFERROR(IF($B61="","",VLOOKUP($B61,Lists!$H$2:$I$15,2,FALSE)),"")</f>
        <v/>
      </c>
      <c r="D61" s="7" t="n"/>
      <c r="E61" s="7" t="n"/>
      <c r="F61" s="7" t="n"/>
      <c r="G61" s="7" t="n"/>
      <c r="H61" s="7" t="n"/>
    </row>
    <row r="62" ht="30" customHeight="1">
      <c r="A62" s="14" t="n"/>
      <c r="B62" s="14" t="n"/>
      <c r="C62" s="17">
        <f>IFERROR(IF($B62="","",VLOOKUP($B62,Lists!$H$2:$I$15,2,FALSE)),"")</f>
        <v/>
      </c>
      <c r="D62" s="15" t="n"/>
      <c r="E62" s="15" t="n"/>
      <c r="F62" s="15" t="n"/>
      <c r="G62" s="15" t="n"/>
      <c r="H62" s="15" t="n"/>
    </row>
    <row r="63" ht="30" customHeight="1">
      <c r="A63" s="12" t="n"/>
      <c r="B63" s="12" t="n"/>
      <c r="C63" s="16">
        <f>IFERROR(IF($B63="","",VLOOKUP($B63,Lists!$H$2:$I$15,2,FALSE)),"")</f>
        <v/>
      </c>
      <c r="D63" s="7" t="n"/>
      <c r="E63" s="7" t="n"/>
      <c r="F63" s="7" t="n"/>
      <c r="G63" s="7" t="n"/>
      <c r="H63" s="7" t="n"/>
    </row>
    <row r="64" ht="30" customHeight="1">
      <c r="A64" s="14" t="n"/>
      <c r="B64" s="14" t="n"/>
      <c r="C64" s="17">
        <f>IFERROR(IF($B64="","",VLOOKUP($B64,Lists!$H$2:$I$15,2,FALSE)),"")</f>
        <v/>
      </c>
      <c r="D64" s="15" t="n"/>
      <c r="E64" s="15" t="n"/>
      <c r="F64" s="15" t="n"/>
      <c r="G64" s="15" t="n"/>
      <c r="H64" s="15" t="n"/>
    </row>
    <row r="65" ht="30" customHeight="1">
      <c r="A65" s="12" t="n"/>
      <c r="B65" s="12" t="n"/>
      <c r="C65" s="16">
        <f>IFERROR(IF($B65="","",VLOOKUP($B65,Lists!$H$2:$I$15,2,FALSE)),"")</f>
        <v/>
      </c>
      <c r="D65" s="7" t="n"/>
      <c r="E65" s="7" t="n"/>
      <c r="F65" s="7" t="n"/>
      <c r="G65" s="7" t="n"/>
      <c r="H65" s="7" t="n"/>
    </row>
    <row r="66" ht="30" customHeight="1">
      <c r="A66" s="14" t="n"/>
      <c r="B66" s="14" t="n"/>
      <c r="C66" s="17">
        <f>IFERROR(IF($B66="","",VLOOKUP($B66,Lists!$H$2:$I$15,2,FALSE)),"")</f>
        <v/>
      </c>
      <c r="D66" s="15" t="n"/>
      <c r="E66" s="15" t="n"/>
      <c r="F66" s="15" t="n"/>
      <c r="G66" s="15" t="n"/>
      <c r="H66" s="15" t="n"/>
    </row>
    <row r="67" ht="30" customHeight="1">
      <c r="A67" s="12" t="n"/>
      <c r="B67" s="12" t="n"/>
      <c r="C67" s="16">
        <f>IFERROR(IF($B67="","",VLOOKUP($B67,Lists!$H$2:$I$15,2,FALSE)),"")</f>
        <v/>
      </c>
      <c r="D67" s="7" t="n"/>
      <c r="E67" s="7" t="n"/>
      <c r="F67" s="7" t="n"/>
      <c r="G67" s="7" t="n"/>
      <c r="H67" s="7" t="n"/>
    </row>
    <row r="68" ht="30" customHeight="1">
      <c r="A68" s="14" t="n"/>
      <c r="B68" s="14" t="n"/>
      <c r="C68" s="17">
        <f>IFERROR(IF($B68="","",VLOOKUP($B68,Lists!$H$2:$I$15,2,FALSE)),"")</f>
        <v/>
      </c>
      <c r="D68" s="15" t="n"/>
      <c r="E68" s="15" t="n"/>
      <c r="F68" s="15" t="n"/>
      <c r="G68" s="15" t="n"/>
      <c r="H68" s="15" t="n"/>
    </row>
    <row r="69" ht="30" customHeight="1">
      <c r="A69" s="12" t="n"/>
      <c r="B69" s="12" t="n"/>
      <c r="C69" s="16">
        <f>IFERROR(IF($B69="","",VLOOKUP($B69,Lists!$H$2:$I$15,2,FALSE)),"")</f>
        <v/>
      </c>
      <c r="D69" s="7" t="n"/>
      <c r="E69" s="7" t="n"/>
      <c r="F69" s="7" t="n"/>
      <c r="G69" s="7" t="n"/>
      <c r="H69" s="7" t="n"/>
    </row>
    <row r="70" ht="30" customHeight="1">
      <c r="A70" s="14" t="n"/>
      <c r="B70" s="14" t="n"/>
      <c r="C70" s="17">
        <f>IFERROR(IF($B70="","",VLOOKUP($B70,Lists!$H$2:$I$15,2,FALSE)),"")</f>
        <v/>
      </c>
      <c r="D70" s="15" t="n"/>
      <c r="E70" s="15" t="n"/>
      <c r="F70" s="15" t="n"/>
      <c r="G70" s="15" t="n"/>
      <c r="H70" s="15" t="n"/>
    </row>
    <row r="71" ht="30" customHeight="1">
      <c r="A71" s="12" t="n"/>
      <c r="B71" s="12" t="n"/>
      <c r="C71" s="16">
        <f>IFERROR(IF($B71="","",VLOOKUP($B71,Lists!$H$2:$I$15,2,FALSE)),"")</f>
        <v/>
      </c>
      <c r="D71" s="7" t="n"/>
      <c r="E71" s="7" t="n"/>
      <c r="F71" s="7" t="n"/>
      <c r="G71" s="7" t="n"/>
      <c r="H71" s="7" t="n"/>
    </row>
    <row r="72" ht="30" customHeight="1">
      <c r="A72" s="14" t="n"/>
      <c r="B72" s="14" t="n"/>
      <c r="C72" s="17">
        <f>IFERROR(IF($B72="","",VLOOKUP($B72,Lists!$H$2:$I$15,2,FALSE)),"")</f>
        <v/>
      </c>
      <c r="D72" s="15" t="n"/>
      <c r="E72" s="15" t="n"/>
      <c r="F72" s="15" t="n"/>
      <c r="G72" s="15" t="n"/>
      <c r="H72" s="15" t="n"/>
    </row>
    <row r="73" ht="30" customHeight="1">
      <c r="A73" s="12" t="n"/>
      <c r="B73" s="12" t="n"/>
      <c r="C73" s="16">
        <f>IFERROR(IF($B73="","",VLOOKUP($B73,Lists!$H$2:$I$15,2,FALSE)),"")</f>
        <v/>
      </c>
      <c r="D73" s="7" t="n"/>
      <c r="E73" s="7" t="n"/>
      <c r="F73" s="7" t="n"/>
      <c r="G73" s="7" t="n"/>
      <c r="H73" s="7" t="n"/>
    </row>
    <row r="74" ht="30" customHeight="1">
      <c r="A74" s="14" t="n"/>
      <c r="B74" s="14" t="n"/>
      <c r="C74" s="17">
        <f>IFERROR(IF($B74="","",VLOOKUP($B74,Lists!$H$2:$I$15,2,FALSE)),"")</f>
        <v/>
      </c>
      <c r="D74" s="15" t="n"/>
      <c r="E74" s="15" t="n"/>
      <c r="F74" s="15" t="n"/>
      <c r="G74" s="15" t="n"/>
      <c r="H74" s="15" t="n"/>
    </row>
    <row r="75" ht="30" customHeight="1">
      <c r="A75" s="12" t="n"/>
      <c r="B75" s="12" t="n"/>
      <c r="C75" s="16">
        <f>IFERROR(IF($B75="","",VLOOKUP($B75,Lists!$H$2:$I$15,2,FALSE)),"")</f>
        <v/>
      </c>
      <c r="D75" s="7" t="n"/>
      <c r="E75" s="7" t="n"/>
      <c r="F75" s="7" t="n"/>
      <c r="G75" s="7" t="n"/>
      <c r="H75" s="7" t="n"/>
    </row>
    <row r="76" ht="30" customHeight="1">
      <c r="A76" s="14" t="n"/>
      <c r="B76" s="14" t="n"/>
      <c r="C76" s="17">
        <f>IFERROR(IF($B76="","",VLOOKUP($B76,Lists!$H$2:$I$15,2,FALSE)),"")</f>
        <v/>
      </c>
      <c r="D76" s="15" t="n"/>
      <c r="E76" s="15" t="n"/>
      <c r="F76" s="15" t="n"/>
      <c r="G76" s="15" t="n"/>
      <c r="H76" s="15" t="n"/>
    </row>
    <row r="77" ht="30" customHeight="1">
      <c r="A77" s="12" t="n"/>
      <c r="B77" s="12" t="n"/>
      <c r="C77" s="16">
        <f>IFERROR(IF($B77="","",VLOOKUP($B77,Lists!$H$2:$I$15,2,FALSE)),"")</f>
        <v/>
      </c>
      <c r="D77" s="7" t="n"/>
      <c r="E77" s="7" t="n"/>
      <c r="F77" s="7" t="n"/>
      <c r="G77" s="7" t="n"/>
      <c r="H77" s="7" t="n"/>
    </row>
    <row r="78" ht="30" customHeight="1">
      <c r="A78" s="14" t="n"/>
      <c r="B78" s="14" t="n"/>
      <c r="C78" s="17">
        <f>IFERROR(IF($B78="","",VLOOKUP($B78,Lists!$H$2:$I$15,2,FALSE)),"")</f>
        <v/>
      </c>
      <c r="D78" s="15" t="n"/>
      <c r="E78" s="15" t="n"/>
      <c r="F78" s="15" t="n"/>
      <c r="G78" s="15" t="n"/>
      <c r="H78" s="15" t="n"/>
    </row>
    <row r="79" ht="30" customHeight="1">
      <c r="A79" s="12" t="n"/>
      <c r="B79" s="12" t="n"/>
      <c r="C79" s="16">
        <f>IFERROR(IF($B79="","",VLOOKUP($B79,Lists!$H$2:$I$15,2,FALSE)),"")</f>
        <v/>
      </c>
      <c r="D79" s="7" t="n"/>
      <c r="E79" s="7" t="n"/>
      <c r="F79" s="7" t="n"/>
      <c r="G79" s="7" t="n"/>
      <c r="H79" s="7" t="n"/>
    </row>
    <row r="80" ht="30" customHeight="1">
      <c r="A80" s="14" t="n"/>
      <c r="B80" s="14" t="n"/>
      <c r="C80" s="17">
        <f>IFERROR(IF($B80="","",VLOOKUP($B80,Lists!$H$2:$I$15,2,FALSE)),"")</f>
        <v/>
      </c>
      <c r="D80" s="15" t="n"/>
      <c r="E80" s="15" t="n"/>
      <c r="F80" s="15" t="n"/>
      <c r="G80" s="15" t="n"/>
      <c r="H80" s="15" t="n"/>
    </row>
    <row r="81" ht="30" customHeight="1">
      <c r="A81" s="12" t="n"/>
      <c r="B81" s="12" t="n"/>
      <c r="C81" s="16">
        <f>IFERROR(IF($B81="","",VLOOKUP($B81,Lists!$H$2:$I$15,2,FALSE)),"")</f>
        <v/>
      </c>
      <c r="D81" s="7" t="n"/>
      <c r="E81" s="7" t="n"/>
      <c r="F81" s="7" t="n"/>
      <c r="G81" s="7" t="n"/>
      <c r="H81" s="7" t="n"/>
    </row>
    <row r="82" ht="30" customHeight="1">
      <c r="A82" s="14" t="n"/>
      <c r="B82" s="14" t="n"/>
      <c r="C82" s="17">
        <f>IFERROR(IF($B82="","",VLOOKUP($B82,Lists!$H$2:$I$15,2,FALSE)),"")</f>
        <v/>
      </c>
      <c r="D82" s="15" t="n"/>
      <c r="E82" s="15" t="n"/>
      <c r="F82" s="15" t="n"/>
      <c r="G82" s="15" t="n"/>
      <c r="H82" s="15" t="n"/>
    </row>
    <row r="83" ht="30" customHeight="1">
      <c r="A83" s="12" t="n"/>
      <c r="B83" s="12" t="n"/>
      <c r="C83" s="16">
        <f>IFERROR(IF($B83="","",VLOOKUP($B83,Lists!$H$2:$I$15,2,FALSE)),"")</f>
        <v/>
      </c>
      <c r="D83" s="7" t="n"/>
      <c r="E83" s="7" t="n"/>
      <c r="F83" s="7" t="n"/>
      <c r="G83" s="7" t="n"/>
      <c r="H83" s="7" t="n"/>
    </row>
    <row r="84" ht="30" customHeight="1">
      <c r="A84" s="14" t="n"/>
      <c r="B84" s="14" t="n"/>
      <c r="C84" s="17">
        <f>IFERROR(IF($B84="","",VLOOKUP($B84,Lists!$H$2:$I$15,2,FALSE)),"")</f>
        <v/>
      </c>
      <c r="D84" s="15" t="n"/>
      <c r="E84" s="15" t="n"/>
      <c r="F84" s="15" t="n"/>
      <c r="G84" s="15" t="n"/>
      <c r="H84" s="15" t="n"/>
    </row>
  </sheetData>
  <mergeCells count="2">
    <mergeCell ref="A2:H2"/>
    <mergeCell ref="A1:H1"/>
  </mergeCells>
  <conditionalFormatting sqref="D5:D84">
    <cfRule type="cellIs" priority="1" operator="equal" dxfId="0">
      <formula>"Không hoàn thành"</formula>
    </cfRule>
    <cfRule type="cellIs" priority="2" operator="equal" dxfId="1">
      <formula>"Hoàn thành - tự làm được"</formula>
    </cfRule>
  </conditionalFormatting>
  <dataValidations count="3">
    <dataValidation sqref="A5:A84" showDropDown="0" showInputMessage="0" showErrorMessage="0" allowBlank="1" type="list">
      <formula1>='Người tham gia'!$A$5:$A$44</formula1>
    </dataValidation>
    <dataValidation sqref="B5:B84" showDropDown="0" showInputMessage="0" showErrorMessage="0" allowBlank="1" type="list">
      <formula1>"NV-1,NV-2,NV-3,NV-4,NV-5,NV-6,NV-7,QL-1,QL-2,QL-3,QL-4,HR-1,HR-2,HR-3"</formula1>
    </dataValidation>
    <dataValidation sqref="D5:D84" showDropDown="0" showInputMessage="0" showErrorMessage="0" allowBlank="1" type="list">
      <formula1>"Hoàn thành - tự làm được,Hoàn thành - cần gợi ý,Không hoàn thành,Không áp dụng"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42" customWidth="1" min="18" max="18"/>
    <col width="42" customWidth="1" min="19" max="19"/>
    <col width="42" customWidth="1" min="20" max="20"/>
    <col width="42" customWidth="1" min="21" max="21"/>
  </cols>
  <sheetData>
    <row r="1" ht="26" customHeight="1">
      <c r="A1" s="8" t="inlineStr">
        <is>
          <t>Khảo sát sau khi trải nghiệm</t>
        </is>
      </c>
    </row>
    <row r="2" ht="18" customHeight="1">
      <c r="A2" s="9" t="inlineStr">
        <is>
          <t>Người tham gia tự điền ngay sau buổi test. Thang 1 đến 5, ô có sẵn danh sách chọn.</t>
        </is>
      </c>
    </row>
    <row r="4" ht="20" customHeight="1">
      <c r="C4" s="18" t="inlineStr">
        <is>
          <t>Dễ dùng</t>
        </is>
      </c>
      <c r="G4" s="18" t="inlineStr">
        <is>
          <t>Nội dung và AI</t>
        </is>
      </c>
      <c r="J4" s="18" t="inlineStr">
        <is>
          <t>Niềm tin</t>
        </is>
      </c>
      <c r="M4" s="18" t="inlineStr">
        <is>
          <t>Giá trị mang lại</t>
        </is>
      </c>
      <c r="Q4" s="18" t="inlineStr">
        <is>
          <t>Sẵn sàng giới thiệu</t>
        </is>
      </c>
      <c r="R4" s="18" t="inlineStr">
        <is>
          <t>Câu hỏi mở</t>
        </is>
      </c>
    </row>
    <row r="5" ht="96" customHeight="1">
      <c r="A5" s="19" t="inlineStr">
        <is>
          <t>Mã người</t>
        </is>
      </c>
      <c r="B5" s="19" t="inlineStr">
        <is>
          <t>Vai trò</t>
        </is>
      </c>
      <c r="C5" s="19" t="inlineStr">
        <is>
          <t>Q1. Tôi tự tìm được chỗ để cho phản hồi mà không phải hỏi ai</t>
        </is>
      </c>
      <c r="D5" s="19" t="inlineStr">
        <is>
          <t>Q2. Các bước trong luồng cho phản hồi rõ ràng, không gây bối rối</t>
        </is>
      </c>
      <c r="E5" s="19" t="inlineStr">
        <is>
          <t>Q3. Tôi viết xong một phản hồi trong khoảng dưới 1 phút</t>
        </is>
      </c>
      <c r="F5" s="19" t="inlineStr">
        <is>
          <t>Q4. Từ ngữ trên màn hình dễ hiểu, đúng cách nói ở MoMo</t>
        </is>
      </c>
      <c r="G5" s="19" t="inlineStr">
        <is>
          <t>Q5. Gợi ý của AI giúp tôi viết phản hồi tốt hơn bản đầu</t>
        </is>
      </c>
      <c r="H5" s="19" t="inlineStr">
        <is>
          <t>Q6. Tôi vẫn là người quyết định nội dung cuối cùng, AI không viết thay tôi</t>
        </is>
      </c>
      <c r="I5" s="19" t="inlineStr">
        <is>
          <t>Q7. Bản AI đề xuất giữ đúng ý tôi muốn nói</t>
        </is>
      </c>
      <c r="J5" s="19" t="inlineStr">
        <is>
          <t>Q8. Tôi biết rõ ai xem được phản hồi mình viết</t>
        </is>
      </c>
      <c r="K5" s="19" t="inlineStr">
        <is>
          <t>Q9. Tôi thấy an toàn khi viết phản hồi thẳng thắn trên hệ thống</t>
        </is>
      </c>
      <c r="L5" s="19" t="inlineStr">
        <is>
          <t>Q10. Tôi không có cảm giác module này dùng để giám sát nhân viên</t>
        </is>
      </c>
      <c r="M5" s="19" t="inlineStr">
        <is>
          <t>Q11. Phản hồi tôi nhận được đủ cụ thể để biết cần làm gì tiếp</t>
        </is>
      </c>
      <c r="N5" s="19" t="inlineStr">
        <is>
          <t>Q12. Tôi sẽ chủ động dùng module này mà không cần ai nhắc</t>
        </is>
      </c>
      <c r="O5" s="19" t="inlineStr">
        <is>
          <t>Q13. Tôi sẽ giới thiệu đồng nghiệp dùng module này</t>
        </is>
      </c>
      <c r="P5" s="19" t="inlineStr">
        <is>
          <t>Q14. Tính chung, tôi hài lòng với trải nghiệm module Phản hồi</t>
        </is>
      </c>
      <c r="Q5" s="19" t="inlineStr">
        <is>
          <t>NPS. Khả năng bạn giới thiệu module này cho đồng nghiệp, thang 0 đến 10</t>
        </is>
      </c>
      <c r="R5" s="19" t="inlineStr">
        <is>
          <t>O1. Ba điều chị hoặc anh thích nhất khi dùng module này</t>
        </is>
      </c>
      <c r="S5" s="19" t="inlineStr">
        <is>
          <t>O2. Ba điều gây khó chịu hoặc mất thời gian nhất</t>
        </is>
      </c>
      <c r="T5" s="19" t="inlineStr">
        <is>
          <t>O3. Một thứ nên bỏ đi và một thứ nên thêm vào</t>
        </is>
      </c>
      <c r="U5" s="19" t="inlineStr">
        <is>
          <t>O4. Điều gì khiến bạn ngại cho phản hồi thẳng thắn, nếu có</t>
        </is>
      </c>
    </row>
    <row r="6" ht="26" customHeight="1">
      <c r="A6" s="13" t="inlineStr">
        <is>
          <t>P01</t>
        </is>
      </c>
      <c r="B6" s="20">
        <f>IFERROR(VLOOKUP($A6,'Người tham gia'!$A:$E,5,FALSE),"")</f>
        <v/>
      </c>
      <c r="C6" s="14" t="n"/>
      <c r="D6" s="14" t="n"/>
      <c r="E6" s="14" t="n"/>
      <c r="F6" s="14" t="n"/>
      <c r="G6" s="14" t="n"/>
      <c r="H6" s="14" t="n"/>
      <c r="I6" s="14" t="n"/>
      <c r="J6" s="14" t="n"/>
      <c r="K6" s="14" t="n"/>
      <c r="L6" s="14" t="n"/>
      <c r="M6" s="14" t="n"/>
      <c r="N6" s="14" t="n"/>
      <c r="O6" s="14" t="n"/>
      <c r="P6" s="14" t="n"/>
      <c r="Q6" s="14" t="n"/>
      <c r="R6" s="15" t="n"/>
      <c r="S6" s="15" t="n"/>
      <c r="T6" s="15" t="n"/>
      <c r="U6" s="15" t="n"/>
    </row>
    <row r="7" ht="26" customHeight="1">
      <c r="A7" s="11" t="inlineStr">
        <is>
          <t>P02</t>
        </is>
      </c>
      <c r="B7" s="21">
        <f>IFERROR(VLOOKUP($A7,'Người tham gia'!$A:$E,5,FALSE),"")</f>
        <v/>
      </c>
      <c r="C7" s="12" t="n"/>
      <c r="D7" s="12" t="n"/>
      <c r="E7" s="12" t="n"/>
      <c r="F7" s="12" t="n"/>
      <c r="G7" s="12" t="n"/>
      <c r="H7" s="12" t="n"/>
      <c r="I7" s="12" t="n"/>
      <c r="J7" s="12" t="n"/>
      <c r="K7" s="12" t="n"/>
      <c r="L7" s="12" t="n"/>
      <c r="M7" s="12" t="n"/>
      <c r="N7" s="12" t="n"/>
      <c r="O7" s="12" t="n"/>
      <c r="P7" s="12" t="n"/>
      <c r="Q7" s="12" t="n"/>
      <c r="R7" s="7" t="n"/>
      <c r="S7" s="7" t="n"/>
      <c r="T7" s="7" t="n"/>
      <c r="U7" s="7" t="n"/>
    </row>
    <row r="8" ht="26" customHeight="1">
      <c r="A8" s="13" t="inlineStr">
        <is>
          <t>P03</t>
        </is>
      </c>
      <c r="B8" s="20">
        <f>IFERROR(VLOOKUP($A8,'Người tham gia'!$A:$E,5,FALSE),"")</f>
        <v/>
      </c>
      <c r="C8" s="14" t="n"/>
      <c r="D8" s="14" t="n"/>
      <c r="E8" s="14" t="n"/>
      <c r="F8" s="14" t="n"/>
      <c r="G8" s="14" t="n"/>
      <c r="H8" s="14" t="n"/>
      <c r="I8" s="14" t="n"/>
      <c r="J8" s="14" t="n"/>
      <c r="K8" s="14" t="n"/>
      <c r="L8" s="14" t="n"/>
      <c r="M8" s="14" t="n"/>
      <c r="N8" s="14" t="n"/>
      <c r="O8" s="14" t="n"/>
      <c r="P8" s="14" t="n"/>
      <c r="Q8" s="14" t="n"/>
      <c r="R8" s="15" t="n"/>
      <c r="S8" s="15" t="n"/>
      <c r="T8" s="15" t="n"/>
      <c r="U8" s="15" t="n"/>
    </row>
    <row r="9" ht="26" customHeight="1">
      <c r="A9" s="11" t="inlineStr">
        <is>
          <t>P04</t>
        </is>
      </c>
      <c r="B9" s="21">
        <f>IFERROR(VLOOKUP($A9,'Người tham gia'!$A:$E,5,FALSE),"")</f>
        <v/>
      </c>
      <c r="C9" s="12" t="n"/>
      <c r="D9" s="12" t="n"/>
      <c r="E9" s="12" t="n"/>
      <c r="F9" s="12" t="n"/>
      <c r="G9" s="12" t="n"/>
      <c r="H9" s="12" t="n"/>
      <c r="I9" s="12" t="n"/>
      <c r="J9" s="12" t="n"/>
      <c r="K9" s="12" t="n"/>
      <c r="L9" s="12" t="n"/>
      <c r="M9" s="12" t="n"/>
      <c r="N9" s="12" t="n"/>
      <c r="O9" s="12" t="n"/>
      <c r="P9" s="12" t="n"/>
      <c r="Q9" s="12" t="n"/>
      <c r="R9" s="7" t="n"/>
      <c r="S9" s="7" t="n"/>
      <c r="T9" s="7" t="n"/>
      <c r="U9" s="7" t="n"/>
    </row>
    <row r="10" ht="26" customHeight="1">
      <c r="A10" s="13" t="inlineStr">
        <is>
          <t>P05</t>
        </is>
      </c>
      <c r="B10" s="20">
        <f>IFERROR(VLOOKUP($A10,'Người tham gia'!$A:$E,5,FALSE),"")</f>
        <v/>
      </c>
      <c r="C10" s="14" t="n"/>
      <c r="D10" s="14" t="n"/>
      <c r="E10" s="14" t="n"/>
      <c r="F10" s="14" t="n"/>
      <c r="G10" s="14" t="n"/>
      <c r="H10" s="14" t="n"/>
      <c r="I10" s="14" t="n"/>
      <c r="J10" s="14" t="n"/>
      <c r="K10" s="14" t="n"/>
      <c r="L10" s="14" t="n"/>
      <c r="M10" s="14" t="n"/>
      <c r="N10" s="14" t="n"/>
      <c r="O10" s="14" t="n"/>
      <c r="P10" s="14" t="n"/>
      <c r="Q10" s="14" t="n"/>
      <c r="R10" s="15" t="n"/>
      <c r="S10" s="15" t="n"/>
      <c r="T10" s="15" t="n"/>
      <c r="U10" s="15" t="n"/>
    </row>
    <row r="11" ht="26" customHeight="1">
      <c r="A11" s="11" t="inlineStr">
        <is>
          <t>P06</t>
        </is>
      </c>
      <c r="B11" s="21">
        <f>IFERROR(VLOOKUP($A11,'Người tham gia'!$A:$E,5,FALSE),"")</f>
        <v/>
      </c>
      <c r="C11" s="12" t="n"/>
      <c r="D11" s="12" t="n"/>
      <c r="E11" s="12" t="n"/>
      <c r="F11" s="12" t="n"/>
      <c r="G11" s="12" t="n"/>
      <c r="H11" s="12" t="n"/>
      <c r="I11" s="12" t="n"/>
      <c r="J11" s="12" t="n"/>
      <c r="K11" s="12" t="n"/>
      <c r="L11" s="12" t="n"/>
      <c r="M11" s="12" t="n"/>
      <c r="N11" s="12" t="n"/>
      <c r="O11" s="12" t="n"/>
      <c r="P11" s="12" t="n"/>
      <c r="Q11" s="12" t="n"/>
      <c r="R11" s="7" t="n"/>
      <c r="S11" s="7" t="n"/>
      <c r="T11" s="7" t="n"/>
      <c r="U11" s="7" t="n"/>
    </row>
    <row r="12" ht="26" customHeight="1">
      <c r="A12" s="13" t="inlineStr">
        <is>
          <t>P07</t>
        </is>
      </c>
      <c r="B12" s="20">
        <f>IFERROR(VLOOKUP($A12,'Người tham gia'!$A:$E,5,FALSE),"")</f>
        <v/>
      </c>
      <c r="C12" s="14" t="n"/>
      <c r="D12" s="14" t="n"/>
      <c r="E12" s="14" t="n"/>
      <c r="F12" s="14" t="n"/>
      <c r="G12" s="14" t="n"/>
      <c r="H12" s="14" t="n"/>
      <c r="I12" s="14" t="n"/>
      <c r="J12" s="14" t="n"/>
      <c r="K12" s="14" t="n"/>
      <c r="L12" s="14" t="n"/>
      <c r="M12" s="14" t="n"/>
      <c r="N12" s="14" t="n"/>
      <c r="O12" s="14" t="n"/>
      <c r="P12" s="14" t="n"/>
      <c r="Q12" s="14" t="n"/>
      <c r="R12" s="15" t="n"/>
      <c r="S12" s="15" t="n"/>
      <c r="T12" s="15" t="n"/>
      <c r="U12" s="15" t="n"/>
    </row>
    <row r="13" ht="26" customHeight="1">
      <c r="A13" s="11" t="inlineStr">
        <is>
          <t>P08</t>
        </is>
      </c>
      <c r="B13" s="21">
        <f>IFERROR(VLOOKUP($A13,'Người tham gia'!$A:$E,5,FALSE),"")</f>
        <v/>
      </c>
      <c r="C13" s="12" t="n"/>
      <c r="D13" s="12" t="n"/>
      <c r="E13" s="12" t="n"/>
      <c r="F13" s="12" t="n"/>
      <c r="G13" s="12" t="n"/>
      <c r="H13" s="12" t="n"/>
      <c r="I13" s="12" t="n"/>
      <c r="J13" s="12" t="n"/>
      <c r="K13" s="12" t="n"/>
      <c r="L13" s="12" t="n"/>
      <c r="M13" s="12" t="n"/>
      <c r="N13" s="12" t="n"/>
      <c r="O13" s="12" t="n"/>
      <c r="P13" s="12" t="n"/>
      <c r="Q13" s="12" t="n"/>
      <c r="R13" s="7" t="n"/>
      <c r="S13" s="7" t="n"/>
      <c r="T13" s="7" t="n"/>
      <c r="U13" s="7" t="n"/>
    </row>
    <row r="14" ht="26" customHeight="1">
      <c r="A14" s="13" t="inlineStr">
        <is>
          <t>P09</t>
        </is>
      </c>
      <c r="B14" s="20">
        <f>IFERROR(VLOOKUP($A14,'Người tham gia'!$A:$E,5,FALSE),"")</f>
        <v/>
      </c>
      <c r="C14" s="14" t="n"/>
      <c r="D14" s="14" t="n"/>
      <c r="E14" s="14" t="n"/>
      <c r="F14" s="14" t="n"/>
      <c r="G14" s="14" t="n"/>
      <c r="H14" s="14" t="n"/>
      <c r="I14" s="14" t="n"/>
      <c r="J14" s="14" t="n"/>
      <c r="K14" s="14" t="n"/>
      <c r="L14" s="14" t="n"/>
      <c r="M14" s="14" t="n"/>
      <c r="N14" s="14" t="n"/>
      <c r="O14" s="14" t="n"/>
      <c r="P14" s="14" t="n"/>
      <c r="Q14" s="14" t="n"/>
      <c r="R14" s="15" t="n"/>
      <c r="S14" s="15" t="n"/>
      <c r="T14" s="15" t="n"/>
      <c r="U14" s="15" t="n"/>
    </row>
    <row r="15" ht="26" customHeight="1">
      <c r="A15" s="11" t="inlineStr">
        <is>
          <t>P10</t>
        </is>
      </c>
      <c r="B15" s="21">
        <f>IFERROR(VLOOKUP($A15,'Người tham gia'!$A:$E,5,FALSE),"")</f>
        <v/>
      </c>
      <c r="C15" s="12" t="n"/>
      <c r="D15" s="12" t="n"/>
      <c r="E15" s="12" t="n"/>
      <c r="F15" s="12" t="n"/>
      <c r="G15" s="12" t="n"/>
      <c r="H15" s="12" t="n"/>
      <c r="I15" s="12" t="n"/>
      <c r="J15" s="12" t="n"/>
      <c r="K15" s="12" t="n"/>
      <c r="L15" s="12" t="n"/>
      <c r="M15" s="12" t="n"/>
      <c r="N15" s="12" t="n"/>
      <c r="O15" s="12" t="n"/>
      <c r="P15" s="12" t="n"/>
      <c r="Q15" s="12" t="n"/>
      <c r="R15" s="7" t="n"/>
      <c r="S15" s="7" t="n"/>
      <c r="T15" s="7" t="n"/>
      <c r="U15" s="7" t="n"/>
    </row>
    <row r="16" ht="26" customHeight="1">
      <c r="A16" s="13" t="inlineStr">
        <is>
          <t>P11</t>
        </is>
      </c>
      <c r="B16" s="20">
        <f>IFERROR(VLOOKUP($A16,'Người tham gia'!$A:$E,5,FALSE),"")</f>
        <v/>
      </c>
      <c r="C16" s="14" t="n"/>
      <c r="D16" s="14" t="n"/>
      <c r="E16" s="14" t="n"/>
      <c r="F16" s="14" t="n"/>
      <c r="G16" s="14" t="n"/>
      <c r="H16" s="14" t="n"/>
      <c r="I16" s="14" t="n"/>
      <c r="J16" s="14" t="n"/>
      <c r="K16" s="14" t="n"/>
      <c r="L16" s="14" t="n"/>
      <c r="M16" s="14" t="n"/>
      <c r="N16" s="14" t="n"/>
      <c r="O16" s="14" t="n"/>
      <c r="P16" s="14" t="n"/>
      <c r="Q16" s="14" t="n"/>
      <c r="R16" s="15" t="n"/>
      <c r="S16" s="15" t="n"/>
      <c r="T16" s="15" t="n"/>
      <c r="U16" s="15" t="n"/>
    </row>
    <row r="17" ht="26" customHeight="1">
      <c r="A17" s="11" t="inlineStr">
        <is>
          <t>P12</t>
        </is>
      </c>
      <c r="B17" s="21">
        <f>IFERROR(VLOOKUP($A17,'Người tham gia'!$A:$E,5,FALSE),"")</f>
        <v/>
      </c>
      <c r="C17" s="12" t="n"/>
      <c r="D17" s="12" t="n"/>
      <c r="E17" s="12" t="n"/>
      <c r="F17" s="12" t="n"/>
      <c r="G17" s="12" t="n"/>
      <c r="H17" s="12" t="n"/>
      <c r="I17" s="12" t="n"/>
      <c r="J17" s="12" t="n"/>
      <c r="K17" s="12" t="n"/>
      <c r="L17" s="12" t="n"/>
      <c r="M17" s="12" t="n"/>
      <c r="N17" s="12" t="n"/>
      <c r="O17" s="12" t="n"/>
      <c r="P17" s="12" t="n"/>
      <c r="Q17" s="12" t="n"/>
      <c r="R17" s="7" t="n"/>
      <c r="S17" s="7" t="n"/>
      <c r="T17" s="7" t="n"/>
      <c r="U17" s="7" t="n"/>
    </row>
    <row r="18" ht="26" customHeight="1">
      <c r="A18" s="13" t="inlineStr">
        <is>
          <t>P13</t>
        </is>
      </c>
      <c r="B18" s="20">
        <f>IFERROR(VLOOKUP($A18,'Người tham gia'!$A:$E,5,FALSE),"")</f>
        <v/>
      </c>
      <c r="C18" s="14" t="n"/>
      <c r="D18" s="14" t="n"/>
      <c r="E18" s="14" t="n"/>
      <c r="F18" s="14" t="n"/>
      <c r="G18" s="14" t="n"/>
      <c r="H18" s="14" t="n"/>
      <c r="I18" s="14" t="n"/>
      <c r="J18" s="14" t="n"/>
      <c r="K18" s="14" t="n"/>
      <c r="L18" s="14" t="n"/>
      <c r="M18" s="14" t="n"/>
      <c r="N18" s="14" t="n"/>
      <c r="O18" s="14" t="n"/>
      <c r="P18" s="14" t="n"/>
      <c r="Q18" s="14" t="n"/>
      <c r="R18" s="15" t="n"/>
      <c r="S18" s="15" t="n"/>
      <c r="T18" s="15" t="n"/>
      <c r="U18" s="15" t="n"/>
    </row>
    <row r="19" ht="26" customHeight="1">
      <c r="A19" s="11" t="inlineStr">
        <is>
          <t>P14</t>
        </is>
      </c>
      <c r="B19" s="21">
        <f>IFERROR(VLOOKUP($A19,'Người tham gia'!$A:$E,5,FALSE),"")</f>
        <v/>
      </c>
      <c r="C19" s="12" t="n"/>
      <c r="D19" s="12" t="n"/>
      <c r="E19" s="12" t="n"/>
      <c r="F19" s="12" t="n"/>
      <c r="G19" s="12" t="n"/>
      <c r="H19" s="12" t="n"/>
      <c r="I19" s="12" t="n"/>
      <c r="J19" s="12" t="n"/>
      <c r="K19" s="12" t="n"/>
      <c r="L19" s="12" t="n"/>
      <c r="M19" s="12" t="n"/>
      <c r="N19" s="12" t="n"/>
      <c r="O19" s="12" t="n"/>
      <c r="P19" s="12" t="n"/>
      <c r="Q19" s="12" t="n"/>
      <c r="R19" s="7" t="n"/>
      <c r="S19" s="7" t="n"/>
      <c r="T19" s="7" t="n"/>
      <c r="U19" s="7" t="n"/>
    </row>
    <row r="20" ht="26" customHeight="1">
      <c r="A20" s="13" t="inlineStr">
        <is>
          <t>P15</t>
        </is>
      </c>
      <c r="B20" s="20">
        <f>IFERROR(VLOOKUP($A20,'Người tham gia'!$A:$E,5,FALSE),"")</f>
        <v/>
      </c>
      <c r="C20" s="14" t="n"/>
      <c r="D20" s="14" t="n"/>
      <c r="E20" s="14" t="n"/>
      <c r="F20" s="14" t="n"/>
      <c r="G20" s="14" t="n"/>
      <c r="H20" s="14" t="n"/>
      <c r="I20" s="14" t="n"/>
      <c r="J20" s="14" t="n"/>
      <c r="K20" s="14" t="n"/>
      <c r="L20" s="14" t="n"/>
      <c r="M20" s="14" t="n"/>
      <c r="N20" s="14" t="n"/>
      <c r="O20" s="14" t="n"/>
      <c r="P20" s="14" t="n"/>
      <c r="Q20" s="14" t="n"/>
      <c r="R20" s="15" t="n"/>
      <c r="S20" s="15" t="n"/>
      <c r="T20" s="15" t="n"/>
      <c r="U20" s="15" t="n"/>
    </row>
    <row r="21" ht="26" customHeight="1">
      <c r="A21" s="11" t="inlineStr">
        <is>
          <t>P16</t>
        </is>
      </c>
      <c r="B21" s="21">
        <f>IFERROR(VLOOKUP($A21,'Người tham gia'!$A:$E,5,FALSE),"")</f>
        <v/>
      </c>
      <c r="C21" s="12" t="n"/>
      <c r="D21" s="12" t="n"/>
      <c r="E21" s="12" t="n"/>
      <c r="F21" s="12" t="n"/>
      <c r="G21" s="12" t="n"/>
      <c r="H21" s="12" t="n"/>
      <c r="I21" s="12" t="n"/>
      <c r="J21" s="12" t="n"/>
      <c r="K21" s="12" t="n"/>
      <c r="L21" s="12" t="n"/>
      <c r="M21" s="12" t="n"/>
      <c r="N21" s="12" t="n"/>
      <c r="O21" s="12" t="n"/>
      <c r="P21" s="12" t="n"/>
      <c r="Q21" s="12" t="n"/>
      <c r="R21" s="7" t="n"/>
      <c r="S21" s="7" t="n"/>
      <c r="T21" s="7" t="n"/>
      <c r="U21" s="7" t="n"/>
    </row>
    <row r="22" ht="26" customHeight="1">
      <c r="A22" s="13" t="inlineStr">
        <is>
          <t>P17</t>
        </is>
      </c>
      <c r="B22" s="20">
        <f>IFERROR(VLOOKUP($A22,'Người tham gia'!$A:$E,5,FALSE),"")</f>
        <v/>
      </c>
      <c r="C22" s="14" t="n"/>
      <c r="D22" s="14" t="n"/>
      <c r="E22" s="14" t="n"/>
      <c r="F22" s="14" t="n"/>
      <c r="G22" s="14" t="n"/>
      <c r="H22" s="14" t="n"/>
      <c r="I22" s="14" t="n"/>
      <c r="J22" s="14" t="n"/>
      <c r="K22" s="14" t="n"/>
      <c r="L22" s="14" t="n"/>
      <c r="M22" s="14" t="n"/>
      <c r="N22" s="14" t="n"/>
      <c r="O22" s="14" t="n"/>
      <c r="P22" s="14" t="n"/>
      <c r="Q22" s="14" t="n"/>
      <c r="R22" s="15" t="n"/>
      <c r="S22" s="15" t="n"/>
      <c r="T22" s="15" t="n"/>
      <c r="U22" s="15" t="n"/>
    </row>
    <row r="23" ht="26" customHeight="1">
      <c r="A23" s="11" t="inlineStr">
        <is>
          <t>P18</t>
        </is>
      </c>
      <c r="B23" s="21">
        <f>IFERROR(VLOOKUP($A23,'Người tham gia'!$A:$E,5,FALSE),"")</f>
        <v/>
      </c>
      <c r="C23" s="12" t="n"/>
      <c r="D23" s="12" t="n"/>
      <c r="E23" s="12" t="n"/>
      <c r="F23" s="12" t="n"/>
      <c r="G23" s="12" t="n"/>
      <c r="H23" s="12" t="n"/>
      <c r="I23" s="12" t="n"/>
      <c r="J23" s="12" t="n"/>
      <c r="K23" s="12" t="n"/>
      <c r="L23" s="12" t="n"/>
      <c r="M23" s="12" t="n"/>
      <c r="N23" s="12" t="n"/>
      <c r="O23" s="12" t="n"/>
      <c r="P23" s="12" t="n"/>
      <c r="Q23" s="12" t="n"/>
      <c r="R23" s="7" t="n"/>
      <c r="S23" s="7" t="n"/>
      <c r="T23" s="7" t="n"/>
      <c r="U23" s="7" t="n"/>
    </row>
    <row r="24" ht="26" customHeight="1">
      <c r="A24" s="13" t="inlineStr">
        <is>
          <t>P19</t>
        </is>
      </c>
      <c r="B24" s="20">
        <f>IFERROR(VLOOKUP($A24,'Người tham gia'!$A:$E,5,FALSE),"")</f>
        <v/>
      </c>
      <c r="C24" s="14" t="n"/>
      <c r="D24" s="14" t="n"/>
      <c r="E24" s="14" t="n"/>
      <c r="F24" s="14" t="n"/>
      <c r="G24" s="14" t="n"/>
      <c r="H24" s="14" t="n"/>
      <c r="I24" s="14" t="n"/>
      <c r="J24" s="14" t="n"/>
      <c r="K24" s="14" t="n"/>
      <c r="L24" s="14" t="n"/>
      <c r="M24" s="14" t="n"/>
      <c r="N24" s="14" t="n"/>
      <c r="O24" s="14" t="n"/>
      <c r="P24" s="14" t="n"/>
      <c r="Q24" s="14" t="n"/>
      <c r="R24" s="15" t="n"/>
      <c r="S24" s="15" t="n"/>
      <c r="T24" s="15" t="n"/>
      <c r="U24" s="15" t="n"/>
    </row>
    <row r="25" ht="26" customHeight="1">
      <c r="A25" s="11" t="inlineStr">
        <is>
          <t>P20</t>
        </is>
      </c>
      <c r="B25" s="21">
        <f>IFERROR(VLOOKUP($A25,'Người tham gia'!$A:$E,5,FALSE),"")</f>
        <v/>
      </c>
      <c r="C25" s="12" t="n"/>
      <c r="D25" s="12" t="n"/>
      <c r="E25" s="12" t="n"/>
      <c r="F25" s="12" t="n"/>
      <c r="G25" s="12" t="n"/>
      <c r="H25" s="12" t="n"/>
      <c r="I25" s="12" t="n"/>
      <c r="J25" s="12" t="n"/>
      <c r="K25" s="12" t="n"/>
      <c r="L25" s="12" t="n"/>
      <c r="M25" s="12" t="n"/>
      <c r="N25" s="12" t="n"/>
      <c r="O25" s="12" t="n"/>
      <c r="P25" s="12" t="n"/>
      <c r="Q25" s="12" t="n"/>
      <c r="R25" s="7" t="n"/>
      <c r="S25" s="7" t="n"/>
      <c r="T25" s="7" t="n"/>
      <c r="U25" s="7" t="n"/>
    </row>
    <row r="26" ht="26" customHeight="1">
      <c r="A26" s="13" t="inlineStr">
        <is>
          <t>P21</t>
        </is>
      </c>
      <c r="B26" s="20">
        <f>IFERROR(VLOOKUP($A26,'Người tham gia'!$A:$E,5,FALSE),"")</f>
        <v/>
      </c>
      <c r="C26" s="14" t="n"/>
      <c r="D26" s="14" t="n"/>
      <c r="E26" s="14" t="n"/>
      <c r="F26" s="14" t="n"/>
      <c r="G26" s="14" t="n"/>
      <c r="H26" s="14" t="n"/>
      <c r="I26" s="14" t="n"/>
      <c r="J26" s="14" t="n"/>
      <c r="K26" s="14" t="n"/>
      <c r="L26" s="14" t="n"/>
      <c r="M26" s="14" t="n"/>
      <c r="N26" s="14" t="n"/>
      <c r="O26" s="14" t="n"/>
      <c r="P26" s="14" t="n"/>
      <c r="Q26" s="14" t="n"/>
      <c r="R26" s="15" t="n"/>
      <c r="S26" s="15" t="n"/>
      <c r="T26" s="15" t="n"/>
      <c r="U26" s="15" t="n"/>
    </row>
    <row r="27" ht="26" customHeight="1">
      <c r="A27" s="11" t="inlineStr">
        <is>
          <t>P22</t>
        </is>
      </c>
      <c r="B27" s="21">
        <f>IFERROR(VLOOKUP($A27,'Người tham gia'!$A:$E,5,FALSE),"")</f>
        <v/>
      </c>
      <c r="C27" s="12" t="n"/>
      <c r="D27" s="12" t="n"/>
      <c r="E27" s="12" t="n"/>
      <c r="F27" s="12" t="n"/>
      <c r="G27" s="12" t="n"/>
      <c r="H27" s="12" t="n"/>
      <c r="I27" s="12" t="n"/>
      <c r="J27" s="12" t="n"/>
      <c r="K27" s="12" t="n"/>
      <c r="L27" s="12" t="n"/>
      <c r="M27" s="12" t="n"/>
      <c r="N27" s="12" t="n"/>
      <c r="O27" s="12" t="n"/>
      <c r="P27" s="12" t="n"/>
      <c r="Q27" s="12" t="n"/>
      <c r="R27" s="7" t="n"/>
      <c r="S27" s="7" t="n"/>
      <c r="T27" s="7" t="n"/>
      <c r="U27" s="7" t="n"/>
    </row>
    <row r="28" ht="26" customHeight="1">
      <c r="A28" s="13" t="inlineStr">
        <is>
          <t>P23</t>
        </is>
      </c>
      <c r="B28" s="20">
        <f>IFERROR(VLOOKUP($A28,'Người tham gia'!$A:$E,5,FALSE),"")</f>
        <v/>
      </c>
      <c r="C28" s="14" t="n"/>
      <c r="D28" s="14" t="n"/>
      <c r="E28" s="14" t="n"/>
      <c r="F28" s="14" t="n"/>
      <c r="G28" s="14" t="n"/>
      <c r="H28" s="14" t="n"/>
      <c r="I28" s="14" t="n"/>
      <c r="J28" s="14" t="n"/>
      <c r="K28" s="14" t="n"/>
      <c r="L28" s="14" t="n"/>
      <c r="M28" s="14" t="n"/>
      <c r="N28" s="14" t="n"/>
      <c r="O28" s="14" t="n"/>
      <c r="P28" s="14" t="n"/>
      <c r="Q28" s="14" t="n"/>
      <c r="R28" s="15" t="n"/>
      <c r="S28" s="15" t="n"/>
      <c r="T28" s="15" t="n"/>
      <c r="U28" s="15" t="n"/>
    </row>
    <row r="29" ht="26" customHeight="1">
      <c r="A29" s="11" t="inlineStr">
        <is>
          <t>P24</t>
        </is>
      </c>
      <c r="B29" s="21">
        <f>IFERROR(VLOOKUP($A29,'Người tham gia'!$A:$E,5,FALSE),"")</f>
        <v/>
      </c>
      <c r="C29" s="12" t="n"/>
      <c r="D29" s="12" t="n"/>
      <c r="E29" s="12" t="n"/>
      <c r="F29" s="12" t="n"/>
      <c r="G29" s="12" t="n"/>
      <c r="H29" s="12" t="n"/>
      <c r="I29" s="12" t="n"/>
      <c r="J29" s="12" t="n"/>
      <c r="K29" s="12" t="n"/>
      <c r="L29" s="12" t="n"/>
      <c r="M29" s="12" t="n"/>
      <c r="N29" s="12" t="n"/>
      <c r="O29" s="12" t="n"/>
      <c r="P29" s="12" t="n"/>
      <c r="Q29" s="12" t="n"/>
      <c r="R29" s="7" t="n"/>
      <c r="S29" s="7" t="n"/>
      <c r="T29" s="7" t="n"/>
      <c r="U29" s="7" t="n"/>
    </row>
    <row r="30" ht="26" customHeight="1">
      <c r="A30" s="13" t="inlineStr">
        <is>
          <t>P25</t>
        </is>
      </c>
      <c r="B30" s="20">
        <f>IFERROR(VLOOKUP($A30,'Người tham gia'!$A:$E,5,FALSE),"")</f>
        <v/>
      </c>
      <c r="C30" s="14" t="n"/>
      <c r="D30" s="14" t="n"/>
      <c r="E30" s="14" t="n"/>
      <c r="F30" s="14" t="n"/>
      <c r="G30" s="14" t="n"/>
      <c r="H30" s="14" t="n"/>
      <c r="I30" s="14" t="n"/>
      <c r="J30" s="14" t="n"/>
      <c r="K30" s="14" t="n"/>
      <c r="L30" s="14" t="n"/>
      <c r="M30" s="14" t="n"/>
      <c r="N30" s="14" t="n"/>
      <c r="O30" s="14" t="n"/>
      <c r="P30" s="14" t="n"/>
      <c r="Q30" s="14" t="n"/>
      <c r="R30" s="15" t="n"/>
      <c r="S30" s="15" t="n"/>
      <c r="T30" s="15" t="n"/>
      <c r="U30" s="15" t="n"/>
    </row>
    <row r="31" ht="26" customHeight="1">
      <c r="A31" s="11" t="inlineStr">
        <is>
          <t>P26</t>
        </is>
      </c>
      <c r="B31" s="21">
        <f>IFERROR(VLOOKUP($A31,'Người tham gia'!$A:$E,5,FALSE),"")</f>
        <v/>
      </c>
      <c r="C31" s="12" t="n"/>
      <c r="D31" s="12" t="n"/>
      <c r="E31" s="12" t="n"/>
      <c r="F31" s="12" t="n"/>
      <c r="G31" s="12" t="n"/>
      <c r="H31" s="12" t="n"/>
      <c r="I31" s="12" t="n"/>
      <c r="J31" s="12" t="n"/>
      <c r="K31" s="12" t="n"/>
      <c r="L31" s="12" t="n"/>
      <c r="M31" s="12" t="n"/>
      <c r="N31" s="12" t="n"/>
      <c r="O31" s="12" t="n"/>
      <c r="P31" s="12" t="n"/>
      <c r="Q31" s="12" t="n"/>
      <c r="R31" s="7" t="n"/>
      <c r="S31" s="7" t="n"/>
      <c r="T31" s="7" t="n"/>
      <c r="U31" s="7" t="n"/>
    </row>
    <row r="32" ht="26" customHeight="1">
      <c r="A32" s="13" t="inlineStr">
        <is>
          <t>P27</t>
        </is>
      </c>
      <c r="B32" s="20">
        <f>IFERROR(VLOOKUP($A32,'Người tham gia'!$A:$E,5,FALSE),"")</f>
        <v/>
      </c>
      <c r="C32" s="14" t="n"/>
      <c r="D32" s="14" t="n"/>
      <c r="E32" s="14" t="n"/>
      <c r="F32" s="14" t="n"/>
      <c r="G32" s="14" t="n"/>
      <c r="H32" s="14" t="n"/>
      <c r="I32" s="14" t="n"/>
      <c r="J32" s="14" t="n"/>
      <c r="K32" s="14" t="n"/>
      <c r="L32" s="14" t="n"/>
      <c r="M32" s="14" t="n"/>
      <c r="N32" s="14" t="n"/>
      <c r="O32" s="14" t="n"/>
      <c r="P32" s="14" t="n"/>
      <c r="Q32" s="14" t="n"/>
      <c r="R32" s="15" t="n"/>
      <c r="S32" s="15" t="n"/>
      <c r="T32" s="15" t="n"/>
      <c r="U32" s="15" t="n"/>
    </row>
    <row r="33" ht="26" customHeight="1">
      <c r="A33" s="11" t="inlineStr">
        <is>
          <t>P28</t>
        </is>
      </c>
      <c r="B33" s="21">
        <f>IFERROR(VLOOKUP($A33,'Người tham gia'!$A:$E,5,FALSE),"")</f>
        <v/>
      </c>
      <c r="C33" s="12" t="n"/>
      <c r="D33" s="12" t="n"/>
      <c r="E33" s="12" t="n"/>
      <c r="F33" s="12" t="n"/>
      <c r="G33" s="12" t="n"/>
      <c r="H33" s="12" t="n"/>
      <c r="I33" s="12" t="n"/>
      <c r="J33" s="12" t="n"/>
      <c r="K33" s="12" t="n"/>
      <c r="L33" s="12" t="n"/>
      <c r="M33" s="12" t="n"/>
      <c r="N33" s="12" t="n"/>
      <c r="O33" s="12" t="n"/>
      <c r="P33" s="12" t="n"/>
      <c r="Q33" s="12" t="n"/>
      <c r="R33" s="7" t="n"/>
      <c r="S33" s="7" t="n"/>
      <c r="T33" s="7" t="n"/>
      <c r="U33" s="7" t="n"/>
    </row>
    <row r="34" ht="26" customHeight="1">
      <c r="A34" s="13" t="inlineStr">
        <is>
          <t>P29</t>
        </is>
      </c>
      <c r="B34" s="20">
        <f>IFERROR(VLOOKUP($A34,'Người tham gia'!$A:$E,5,FALSE),"")</f>
        <v/>
      </c>
      <c r="C34" s="14" t="n"/>
      <c r="D34" s="14" t="n"/>
      <c r="E34" s="14" t="n"/>
      <c r="F34" s="14" t="n"/>
      <c r="G34" s="14" t="n"/>
      <c r="H34" s="14" t="n"/>
      <c r="I34" s="14" t="n"/>
      <c r="J34" s="14" t="n"/>
      <c r="K34" s="14" t="n"/>
      <c r="L34" s="14" t="n"/>
      <c r="M34" s="14" t="n"/>
      <c r="N34" s="14" t="n"/>
      <c r="O34" s="14" t="n"/>
      <c r="P34" s="14" t="n"/>
      <c r="Q34" s="14" t="n"/>
      <c r="R34" s="15" t="n"/>
      <c r="S34" s="15" t="n"/>
      <c r="T34" s="15" t="n"/>
      <c r="U34" s="15" t="n"/>
    </row>
    <row r="35" ht="26" customHeight="1">
      <c r="A35" s="11" t="inlineStr">
        <is>
          <t>P30</t>
        </is>
      </c>
      <c r="B35" s="21">
        <f>IFERROR(VLOOKUP($A35,'Người tham gia'!$A:$E,5,FALSE),"")</f>
        <v/>
      </c>
      <c r="C35" s="12" t="n"/>
      <c r="D35" s="12" t="n"/>
      <c r="E35" s="12" t="n"/>
      <c r="F35" s="12" t="n"/>
      <c r="G35" s="12" t="n"/>
      <c r="H35" s="12" t="n"/>
      <c r="I35" s="12" t="n"/>
      <c r="J35" s="12" t="n"/>
      <c r="K35" s="12" t="n"/>
      <c r="L35" s="12" t="n"/>
      <c r="M35" s="12" t="n"/>
      <c r="N35" s="12" t="n"/>
      <c r="O35" s="12" t="n"/>
      <c r="P35" s="12" t="n"/>
      <c r="Q35" s="12" t="n"/>
      <c r="R35" s="7" t="n"/>
      <c r="S35" s="7" t="n"/>
      <c r="T35" s="7" t="n"/>
      <c r="U35" s="7" t="n"/>
    </row>
    <row r="36" ht="26" customHeight="1">
      <c r="A36" s="13" t="inlineStr">
        <is>
          <t>P31</t>
        </is>
      </c>
      <c r="B36" s="20">
        <f>IFERROR(VLOOKUP($A36,'Người tham gia'!$A:$E,5,FALSE),"")</f>
        <v/>
      </c>
      <c r="C36" s="14" t="n"/>
      <c r="D36" s="14" t="n"/>
      <c r="E36" s="14" t="n"/>
      <c r="F36" s="14" t="n"/>
      <c r="G36" s="14" t="n"/>
      <c r="H36" s="14" t="n"/>
      <c r="I36" s="14" t="n"/>
      <c r="J36" s="14" t="n"/>
      <c r="K36" s="14" t="n"/>
      <c r="L36" s="14" t="n"/>
      <c r="M36" s="14" t="n"/>
      <c r="N36" s="14" t="n"/>
      <c r="O36" s="14" t="n"/>
      <c r="P36" s="14" t="n"/>
      <c r="Q36" s="14" t="n"/>
      <c r="R36" s="15" t="n"/>
      <c r="S36" s="15" t="n"/>
      <c r="T36" s="15" t="n"/>
      <c r="U36" s="15" t="n"/>
    </row>
    <row r="37" ht="26" customHeight="1">
      <c r="A37" s="11" t="inlineStr">
        <is>
          <t>P32</t>
        </is>
      </c>
      <c r="B37" s="21">
        <f>IFERROR(VLOOKUP($A37,'Người tham gia'!$A:$E,5,FALSE),"")</f>
        <v/>
      </c>
      <c r="C37" s="12" t="n"/>
      <c r="D37" s="12" t="n"/>
      <c r="E37" s="12" t="n"/>
      <c r="F37" s="12" t="n"/>
      <c r="G37" s="12" t="n"/>
      <c r="H37" s="12" t="n"/>
      <c r="I37" s="12" t="n"/>
      <c r="J37" s="12" t="n"/>
      <c r="K37" s="12" t="n"/>
      <c r="L37" s="12" t="n"/>
      <c r="M37" s="12" t="n"/>
      <c r="N37" s="12" t="n"/>
      <c r="O37" s="12" t="n"/>
      <c r="P37" s="12" t="n"/>
      <c r="Q37" s="12" t="n"/>
      <c r="R37" s="7" t="n"/>
      <c r="S37" s="7" t="n"/>
      <c r="T37" s="7" t="n"/>
      <c r="U37" s="7" t="n"/>
    </row>
    <row r="38" ht="26" customHeight="1">
      <c r="A38" s="13" t="inlineStr">
        <is>
          <t>P33</t>
        </is>
      </c>
      <c r="B38" s="20">
        <f>IFERROR(VLOOKUP($A38,'Người tham gia'!$A:$E,5,FALSE),"")</f>
        <v/>
      </c>
      <c r="C38" s="14" t="n"/>
      <c r="D38" s="14" t="n"/>
      <c r="E38" s="14" t="n"/>
      <c r="F38" s="14" t="n"/>
      <c r="G38" s="14" t="n"/>
      <c r="H38" s="14" t="n"/>
      <c r="I38" s="14" t="n"/>
      <c r="J38" s="14" t="n"/>
      <c r="K38" s="14" t="n"/>
      <c r="L38" s="14" t="n"/>
      <c r="M38" s="14" t="n"/>
      <c r="N38" s="14" t="n"/>
      <c r="O38" s="14" t="n"/>
      <c r="P38" s="14" t="n"/>
      <c r="Q38" s="14" t="n"/>
      <c r="R38" s="15" t="n"/>
      <c r="S38" s="15" t="n"/>
      <c r="T38" s="15" t="n"/>
      <c r="U38" s="15" t="n"/>
    </row>
    <row r="39" ht="26" customHeight="1">
      <c r="A39" s="11" t="inlineStr">
        <is>
          <t>P34</t>
        </is>
      </c>
      <c r="B39" s="21">
        <f>IFERROR(VLOOKUP($A39,'Người tham gia'!$A:$E,5,FALSE),"")</f>
        <v/>
      </c>
      <c r="C39" s="12" t="n"/>
      <c r="D39" s="12" t="n"/>
      <c r="E39" s="12" t="n"/>
      <c r="F39" s="12" t="n"/>
      <c r="G39" s="12" t="n"/>
      <c r="H39" s="12" t="n"/>
      <c r="I39" s="12" t="n"/>
      <c r="J39" s="12" t="n"/>
      <c r="K39" s="12" t="n"/>
      <c r="L39" s="12" t="n"/>
      <c r="M39" s="12" t="n"/>
      <c r="N39" s="12" t="n"/>
      <c r="O39" s="12" t="n"/>
      <c r="P39" s="12" t="n"/>
      <c r="Q39" s="12" t="n"/>
      <c r="R39" s="7" t="n"/>
      <c r="S39" s="7" t="n"/>
      <c r="T39" s="7" t="n"/>
      <c r="U39" s="7" t="n"/>
    </row>
    <row r="40" ht="26" customHeight="1">
      <c r="A40" s="13" t="inlineStr">
        <is>
          <t>P35</t>
        </is>
      </c>
      <c r="B40" s="20">
        <f>IFERROR(VLOOKUP($A40,'Người tham gia'!$A:$E,5,FALSE),"")</f>
        <v/>
      </c>
      <c r="C40" s="14" t="n"/>
      <c r="D40" s="14" t="n"/>
      <c r="E40" s="14" t="n"/>
      <c r="F40" s="14" t="n"/>
      <c r="G40" s="14" t="n"/>
      <c r="H40" s="14" t="n"/>
      <c r="I40" s="14" t="n"/>
      <c r="J40" s="14" t="n"/>
      <c r="K40" s="14" t="n"/>
      <c r="L40" s="14" t="n"/>
      <c r="M40" s="14" t="n"/>
      <c r="N40" s="14" t="n"/>
      <c r="O40" s="14" t="n"/>
      <c r="P40" s="14" t="n"/>
      <c r="Q40" s="14" t="n"/>
      <c r="R40" s="15" t="n"/>
      <c r="S40" s="15" t="n"/>
      <c r="T40" s="15" t="n"/>
      <c r="U40" s="15" t="n"/>
    </row>
    <row r="41" ht="26" customHeight="1">
      <c r="A41" s="11" t="inlineStr">
        <is>
          <t>P36</t>
        </is>
      </c>
      <c r="B41" s="21">
        <f>IFERROR(VLOOKUP($A41,'Người tham gia'!$A:$E,5,FALSE),"")</f>
        <v/>
      </c>
      <c r="C41" s="12" t="n"/>
      <c r="D41" s="12" t="n"/>
      <c r="E41" s="12" t="n"/>
      <c r="F41" s="12" t="n"/>
      <c r="G41" s="12" t="n"/>
      <c r="H41" s="12" t="n"/>
      <c r="I41" s="12" t="n"/>
      <c r="J41" s="12" t="n"/>
      <c r="K41" s="12" t="n"/>
      <c r="L41" s="12" t="n"/>
      <c r="M41" s="12" t="n"/>
      <c r="N41" s="12" t="n"/>
      <c r="O41" s="12" t="n"/>
      <c r="P41" s="12" t="n"/>
      <c r="Q41" s="12" t="n"/>
      <c r="R41" s="7" t="n"/>
      <c r="S41" s="7" t="n"/>
      <c r="T41" s="7" t="n"/>
      <c r="U41" s="7" t="n"/>
    </row>
    <row r="42" ht="26" customHeight="1">
      <c r="A42" s="13" t="inlineStr">
        <is>
          <t>P37</t>
        </is>
      </c>
      <c r="B42" s="20">
        <f>IFERROR(VLOOKUP($A42,'Người tham gia'!$A:$E,5,FALSE),"")</f>
        <v/>
      </c>
      <c r="C42" s="14" t="n"/>
      <c r="D42" s="14" t="n"/>
      <c r="E42" s="14" t="n"/>
      <c r="F42" s="14" t="n"/>
      <c r="G42" s="14" t="n"/>
      <c r="H42" s="14" t="n"/>
      <c r="I42" s="14" t="n"/>
      <c r="J42" s="14" t="n"/>
      <c r="K42" s="14" t="n"/>
      <c r="L42" s="14" t="n"/>
      <c r="M42" s="14" t="n"/>
      <c r="N42" s="14" t="n"/>
      <c r="O42" s="14" t="n"/>
      <c r="P42" s="14" t="n"/>
      <c r="Q42" s="14" t="n"/>
      <c r="R42" s="15" t="n"/>
      <c r="S42" s="15" t="n"/>
      <c r="T42" s="15" t="n"/>
      <c r="U42" s="15" t="n"/>
    </row>
    <row r="43" ht="26" customHeight="1">
      <c r="A43" s="11" t="inlineStr">
        <is>
          <t>P38</t>
        </is>
      </c>
      <c r="B43" s="21">
        <f>IFERROR(VLOOKUP($A43,'Người tham gia'!$A:$E,5,FALSE),"")</f>
        <v/>
      </c>
      <c r="C43" s="12" t="n"/>
      <c r="D43" s="12" t="n"/>
      <c r="E43" s="12" t="n"/>
      <c r="F43" s="12" t="n"/>
      <c r="G43" s="12" t="n"/>
      <c r="H43" s="12" t="n"/>
      <c r="I43" s="12" t="n"/>
      <c r="J43" s="12" t="n"/>
      <c r="K43" s="12" t="n"/>
      <c r="L43" s="12" t="n"/>
      <c r="M43" s="12" t="n"/>
      <c r="N43" s="12" t="n"/>
      <c r="O43" s="12" t="n"/>
      <c r="P43" s="12" t="n"/>
      <c r="Q43" s="12" t="n"/>
      <c r="R43" s="7" t="n"/>
      <c r="S43" s="7" t="n"/>
      <c r="T43" s="7" t="n"/>
      <c r="U43" s="7" t="n"/>
    </row>
    <row r="44" ht="26" customHeight="1">
      <c r="A44" s="13" t="inlineStr">
        <is>
          <t>P39</t>
        </is>
      </c>
      <c r="B44" s="20">
        <f>IFERROR(VLOOKUP($A44,'Người tham gia'!$A:$E,5,FALSE),"")</f>
        <v/>
      </c>
      <c r="C44" s="14" t="n"/>
      <c r="D44" s="14" t="n"/>
      <c r="E44" s="14" t="n"/>
      <c r="F44" s="14" t="n"/>
      <c r="G44" s="14" t="n"/>
      <c r="H44" s="14" t="n"/>
      <c r="I44" s="14" t="n"/>
      <c r="J44" s="14" t="n"/>
      <c r="K44" s="14" t="n"/>
      <c r="L44" s="14" t="n"/>
      <c r="M44" s="14" t="n"/>
      <c r="N44" s="14" t="n"/>
      <c r="O44" s="14" t="n"/>
      <c r="P44" s="14" t="n"/>
      <c r="Q44" s="14" t="n"/>
      <c r="R44" s="15" t="n"/>
      <c r="S44" s="15" t="n"/>
      <c r="T44" s="15" t="n"/>
      <c r="U44" s="15" t="n"/>
    </row>
    <row r="45" ht="26" customHeight="1">
      <c r="A45" s="11" t="inlineStr">
        <is>
          <t>P40</t>
        </is>
      </c>
      <c r="B45" s="21">
        <f>IFERROR(VLOOKUP($A45,'Người tham gia'!$A:$E,5,FALSE),"")</f>
        <v/>
      </c>
      <c r="C45" s="12" t="n"/>
      <c r="D45" s="12" t="n"/>
      <c r="E45" s="12" t="n"/>
      <c r="F45" s="12" t="n"/>
      <c r="G45" s="12" t="n"/>
      <c r="H45" s="12" t="n"/>
      <c r="I45" s="12" t="n"/>
      <c r="J45" s="12" t="n"/>
      <c r="K45" s="12" t="n"/>
      <c r="L45" s="12" t="n"/>
      <c r="M45" s="12" t="n"/>
      <c r="N45" s="12" t="n"/>
      <c r="O45" s="12" t="n"/>
      <c r="P45" s="12" t="n"/>
      <c r="Q45" s="12" t="n"/>
      <c r="R45" s="7" t="n"/>
      <c r="S45" s="7" t="n"/>
      <c r="T45" s="7" t="n"/>
      <c r="U45" s="7" t="n"/>
    </row>
  </sheetData>
  <mergeCells count="8">
    <mergeCell ref="Q4"/>
    <mergeCell ref="M4:P4"/>
    <mergeCell ref="R4:U4"/>
    <mergeCell ref="A1:C1"/>
    <mergeCell ref="C4:F4"/>
    <mergeCell ref="G4:I4"/>
    <mergeCell ref="J4:L4"/>
    <mergeCell ref="A2:C2"/>
  </mergeCells>
  <dataValidations count="2">
    <dataValidation sqref="C6:P45" showDropDown="0" showInputMessage="0" showErrorMessage="0" allowBlank="1" type="list">
      <formula1>"1 - Rất không đồng ý,2 - Không đồng ý,3 - Bình thường,4 - Đồng ý,5 - Rất đồng ý"</formula1>
    </dataValidation>
    <dataValidation sqref="Q6:Q45" showDropDown="0" showInputMessage="0" showErrorMessage="0" allowBlank="1" errorTitle="Sai giá trị" error="Chỉ nhập số nguyên từ 0 đến 10" type="whole" operator="between">
      <formula1>0</formula1>
      <formula2>10</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30" customWidth="1" min="3" max="3"/>
    <col width="28" customWidth="1" min="4" max="4"/>
    <col width="52" customWidth="1" min="5" max="5"/>
    <col width="32" customWidth="1" min="6" max="6"/>
    <col width="12" customWidth="1" min="7" max="7"/>
    <col width="46" customWidth="1" min="8" max="8"/>
    <col width="22" customWidth="1" min="9" max="9"/>
  </cols>
  <sheetData>
    <row r="1" ht="26" customHeight="1">
      <c r="A1" s="8" t="inlineStr">
        <is>
          <t>Nhật ký vấn đề</t>
        </is>
      </c>
    </row>
    <row r="2" ht="18" customHeight="1">
      <c r="A2" s="9" t="inlineStr">
        <is>
          <t>Ghi ngay khi thấy, không đợi cuối buổi. Một dòng là một vấn đề, cùng một vấn đề gặp lại ở người khác thì cộng vào cột Số người gặp.</t>
        </is>
      </c>
    </row>
    <row r="4" ht="34" customHeight="1">
      <c r="A4" s="10" t="inlineStr">
        <is>
          <t>Mã</t>
        </is>
      </c>
      <c r="B4" s="10" t="inlineStr">
        <is>
          <t>Mã người</t>
        </is>
      </c>
      <c r="C4" s="10" t="inlineStr">
        <is>
          <t>Màn hình</t>
        </is>
      </c>
      <c r="D4" s="10" t="inlineStr">
        <is>
          <t>Loại vấn đề</t>
        </is>
      </c>
      <c r="E4" s="10" t="inlineStr">
        <is>
          <t>Mô tả vấn đề</t>
        </is>
      </c>
      <c r="F4" s="10" t="inlineStr">
        <is>
          <t>Mức độ</t>
        </is>
      </c>
      <c r="G4" s="10" t="inlineStr">
        <is>
          <t>Số người gặp</t>
        </is>
      </c>
      <c r="H4" s="10" t="inlineStr">
        <is>
          <t>Đề xuất xử lý</t>
        </is>
      </c>
      <c r="I4" s="10" t="inlineStr">
        <is>
          <t>Trạng thái</t>
        </is>
      </c>
    </row>
    <row r="5" ht="30" customHeight="1">
      <c r="A5" s="11" t="inlineStr">
        <is>
          <t>V01</t>
        </is>
      </c>
      <c r="B5" s="12" t="n"/>
      <c r="C5" s="7" t="n"/>
      <c r="D5" s="7" t="n"/>
      <c r="E5" s="7" t="n"/>
      <c r="F5" s="7" t="n"/>
      <c r="G5" s="7" t="n"/>
      <c r="H5" s="7" t="n"/>
      <c r="I5" s="7" t="n"/>
    </row>
    <row r="6" ht="30" customHeight="1">
      <c r="A6" s="13" t="inlineStr">
        <is>
          <t>V02</t>
        </is>
      </c>
      <c r="B6" s="14" t="n"/>
      <c r="C6" s="15" t="n"/>
      <c r="D6" s="15" t="n"/>
      <c r="E6" s="15" t="n"/>
      <c r="F6" s="15" t="n"/>
      <c r="G6" s="15" t="n"/>
      <c r="H6" s="15" t="n"/>
      <c r="I6" s="15" t="n"/>
    </row>
    <row r="7" ht="30" customHeight="1">
      <c r="A7" s="11" t="inlineStr">
        <is>
          <t>V03</t>
        </is>
      </c>
      <c r="B7" s="12" t="n"/>
      <c r="C7" s="7" t="n"/>
      <c r="D7" s="7" t="n"/>
      <c r="E7" s="7" t="n"/>
      <c r="F7" s="7" t="n"/>
      <c r="G7" s="7" t="n"/>
      <c r="H7" s="7" t="n"/>
      <c r="I7" s="7" t="n"/>
    </row>
    <row r="8" ht="30" customHeight="1">
      <c r="A8" s="13" t="inlineStr">
        <is>
          <t>V04</t>
        </is>
      </c>
      <c r="B8" s="14" t="n"/>
      <c r="C8" s="15" t="n"/>
      <c r="D8" s="15" t="n"/>
      <c r="E8" s="15" t="n"/>
      <c r="F8" s="15" t="n"/>
      <c r="G8" s="15" t="n"/>
      <c r="H8" s="15" t="n"/>
      <c r="I8" s="15" t="n"/>
    </row>
    <row r="9" ht="30" customHeight="1">
      <c r="A9" s="11" t="inlineStr">
        <is>
          <t>V05</t>
        </is>
      </c>
      <c r="B9" s="12" t="n"/>
      <c r="C9" s="7" t="n"/>
      <c r="D9" s="7" t="n"/>
      <c r="E9" s="7" t="n"/>
      <c r="F9" s="7" t="n"/>
      <c r="G9" s="7" t="n"/>
      <c r="H9" s="7" t="n"/>
      <c r="I9" s="7" t="n"/>
    </row>
    <row r="10" ht="30" customHeight="1">
      <c r="A10" s="13" t="inlineStr">
        <is>
          <t>V06</t>
        </is>
      </c>
      <c r="B10" s="14" t="n"/>
      <c r="C10" s="15" t="n"/>
      <c r="D10" s="15" t="n"/>
      <c r="E10" s="15" t="n"/>
      <c r="F10" s="15" t="n"/>
      <c r="G10" s="15" t="n"/>
      <c r="H10" s="15" t="n"/>
      <c r="I10" s="15" t="n"/>
    </row>
    <row r="11" ht="30" customHeight="1">
      <c r="A11" s="11" t="inlineStr">
        <is>
          <t>V07</t>
        </is>
      </c>
      <c r="B11" s="12" t="n"/>
      <c r="C11" s="7" t="n"/>
      <c r="D11" s="7" t="n"/>
      <c r="E11" s="7" t="n"/>
      <c r="F11" s="7" t="n"/>
      <c r="G11" s="7" t="n"/>
      <c r="H11" s="7" t="n"/>
      <c r="I11" s="7" t="n"/>
    </row>
    <row r="12" ht="30" customHeight="1">
      <c r="A12" s="13" t="inlineStr">
        <is>
          <t>V08</t>
        </is>
      </c>
      <c r="B12" s="14" t="n"/>
      <c r="C12" s="15" t="n"/>
      <c r="D12" s="15" t="n"/>
      <c r="E12" s="15" t="n"/>
      <c r="F12" s="15" t="n"/>
      <c r="G12" s="15" t="n"/>
      <c r="H12" s="15" t="n"/>
      <c r="I12" s="15" t="n"/>
    </row>
    <row r="13" ht="30" customHeight="1">
      <c r="A13" s="11" t="inlineStr">
        <is>
          <t>V09</t>
        </is>
      </c>
      <c r="B13" s="12" t="n"/>
      <c r="C13" s="7" t="n"/>
      <c r="D13" s="7" t="n"/>
      <c r="E13" s="7" t="n"/>
      <c r="F13" s="7" t="n"/>
      <c r="G13" s="7" t="n"/>
      <c r="H13" s="7" t="n"/>
      <c r="I13" s="7" t="n"/>
    </row>
    <row r="14" ht="30" customHeight="1">
      <c r="A14" s="13" t="inlineStr">
        <is>
          <t>V10</t>
        </is>
      </c>
      <c r="B14" s="14" t="n"/>
      <c r="C14" s="15" t="n"/>
      <c r="D14" s="15" t="n"/>
      <c r="E14" s="15" t="n"/>
      <c r="F14" s="15" t="n"/>
      <c r="G14" s="15" t="n"/>
      <c r="H14" s="15" t="n"/>
      <c r="I14" s="15" t="n"/>
    </row>
    <row r="15" ht="30" customHeight="1">
      <c r="A15" s="11" t="inlineStr">
        <is>
          <t>V11</t>
        </is>
      </c>
      <c r="B15" s="12" t="n"/>
      <c r="C15" s="7" t="n"/>
      <c r="D15" s="7" t="n"/>
      <c r="E15" s="7" t="n"/>
      <c r="F15" s="7" t="n"/>
      <c r="G15" s="7" t="n"/>
      <c r="H15" s="7" t="n"/>
      <c r="I15" s="7" t="n"/>
    </row>
    <row r="16" ht="30" customHeight="1">
      <c r="A16" s="13" t="inlineStr">
        <is>
          <t>V12</t>
        </is>
      </c>
      <c r="B16" s="14" t="n"/>
      <c r="C16" s="15" t="n"/>
      <c r="D16" s="15" t="n"/>
      <c r="E16" s="15" t="n"/>
      <c r="F16" s="15" t="n"/>
      <c r="G16" s="15" t="n"/>
      <c r="H16" s="15" t="n"/>
      <c r="I16" s="15" t="n"/>
    </row>
    <row r="17" ht="30" customHeight="1">
      <c r="A17" s="11" t="inlineStr">
        <is>
          <t>V13</t>
        </is>
      </c>
      <c r="B17" s="12" t="n"/>
      <c r="C17" s="7" t="n"/>
      <c r="D17" s="7" t="n"/>
      <c r="E17" s="7" t="n"/>
      <c r="F17" s="7" t="n"/>
      <c r="G17" s="7" t="n"/>
      <c r="H17" s="7" t="n"/>
      <c r="I17" s="7" t="n"/>
    </row>
    <row r="18" ht="30" customHeight="1">
      <c r="A18" s="13" t="inlineStr">
        <is>
          <t>V14</t>
        </is>
      </c>
      <c r="B18" s="14" t="n"/>
      <c r="C18" s="15" t="n"/>
      <c r="D18" s="15" t="n"/>
      <c r="E18" s="15" t="n"/>
      <c r="F18" s="15" t="n"/>
      <c r="G18" s="15" t="n"/>
      <c r="H18" s="15" t="n"/>
      <c r="I18" s="15" t="n"/>
    </row>
    <row r="19" ht="30" customHeight="1">
      <c r="A19" s="11" t="inlineStr">
        <is>
          <t>V15</t>
        </is>
      </c>
      <c r="B19" s="12" t="n"/>
      <c r="C19" s="7" t="n"/>
      <c r="D19" s="7" t="n"/>
      <c r="E19" s="7" t="n"/>
      <c r="F19" s="7" t="n"/>
      <c r="G19" s="7" t="n"/>
      <c r="H19" s="7" t="n"/>
      <c r="I19" s="7" t="n"/>
    </row>
    <row r="20" ht="30" customHeight="1">
      <c r="A20" s="13" t="inlineStr">
        <is>
          <t>V16</t>
        </is>
      </c>
      <c r="B20" s="14" t="n"/>
      <c r="C20" s="15" t="n"/>
      <c r="D20" s="15" t="n"/>
      <c r="E20" s="15" t="n"/>
      <c r="F20" s="15" t="n"/>
      <c r="G20" s="15" t="n"/>
      <c r="H20" s="15" t="n"/>
      <c r="I20" s="15" t="n"/>
    </row>
    <row r="21" ht="30" customHeight="1">
      <c r="A21" s="11" t="inlineStr">
        <is>
          <t>V17</t>
        </is>
      </c>
      <c r="B21" s="12" t="n"/>
      <c r="C21" s="7" t="n"/>
      <c r="D21" s="7" t="n"/>
      <c r="E21" s="7" t="n"/>
      <c r="F21" s="7" t="n"/>
      <c r="G21" s="7" t="n"/>
      <c r="H21" s="7" t="n"/>
      <c r="I21" s="7" t="n"/>
    </row>
    <row r="22" ht="30" customHeight="1">
      <c r="A22" s="13" t="inlineStr">
        <is>
          <t>V18</t>
        </is>
      </c>
      <c r="B22" s="14" t="n"/>
      <c r="C22" s="15" t="n"/>
      <c r="D22" s="15" t="n"/>
      <c r="E22" s="15" t="n"/>
      <c r="F22" s="15" t="n"/>
      <c r="G22" s="15" t="n"/>
      <c r="H22" s="15" t="n"/>
      <c r="I22" s="15" t="n"/>
    </row>
    <row r="23" ht="30" customHeight="1">
      <c r="A23" s="11" t="inlineStr">
        <is>
          <t>V19</t>
        </is>
      </c>
      <c r="B23" s="12" t="n"/>
      <c r="C23" s="7" t="n"/>
      <c r="D23" s="7" t="n"/>
      <c r="E23" s="7" t="n"/>
      <c r="F23" s="7" t="n"/>
      <c r="G23" s="7" t="n"/>
      <c r="H23" s="7" t="n"/>
      <c r="I23" s="7" t="n"/>
    </row>
    <row r="24" ht="30" customHeight="1">
      <c r="A24" s="13" t="inlineStr">
        <is>
          <t>V20</t>
        </is>
      </c>
      <c r="B24" s="14" t="n"/>
      <c r="C24" s="15" t="n"/>
      <c r="D24" s="15" t="n"/>
      <c r="E24" s="15" t="n"/>
      <c r="F24" s="15" t="n"/>
      <c r="G24" s="15" t="n"/>
      <c r="H24" s="15" t="n"/>
      <c r="I24" s="15" t="n"/>
    </row>
    <row r="25" ht="30" customHeight="1">
      <c r="A25" s="11" t="inlineStr">
        <is>
          <t>V21</t>
        </is>
      </c>
      <c r="B25" s="12" t="n"/>
      <c r="C25" s="7" t="n"/>
      <c r="D25" s="7" t="n"/>
      <c r="E25" s="7" t="n"/>
      <c r="F25" s="7" t="n"/>
      <c r="G25" s="7" t="n"/>
      <c r="H25" s="7" t="n"/>
      <c r="I25" s="7" t="n"/>
    </row>
    <row r="26" ht="30" customHeight="1">
      <c r="A26" s="13" t="inlineStr">
        <is>
          <t>V22</t>
        </is>
      </c>
      <c r="B26" s="14" t="n"/>
      <c r="C26" s="15" t="n"/>
      <c r="D26" s="15" t="n"/>
      <c r="E26" s="15" t="n"/>
      <c r="F26" s="15" t="n"/>
      <c r="G26" s="15" t="n"/>
      <c r="H26" s="15" t="n"/>
      <c r="I26" s="15" t="n"/>
    </row>
    <row r="27" ht="30" customHeight="1">
      <c r="A27" s="11" t="inlineStr">
        <is>
          <t>V23</t>
        </is>
      </c>
      <c r="B27" s="12" t="n"/>
      <c r="C27" s="7" t="n"/>
      <c r="D27" s="7" t="n"/>
      <c r="E27" s="7" t="n"/>
      <c r="F27" s="7" t="n"/>
      <c r="G27" s="7" t="n"/>
      <c r="H27" s="7" t="n"/>
      <c r="I27" s="7" t="n"/>
    </row>
    <row r="28" ht="30" customHeight="1">
      <c r="A28" s="13" t="inlineStr">
        <is>
          <t>V24</t>
        </is>
      </c>
      <c r="B28" s="14" t="n"/>
      <c r="C28" s="15" t="n"/>
      <c r="D28" s="15" t="n"/>
      <c r="E28" s="15" t="n"/>
      <c r="F28" s="15" t="n"/>
      <c r="G28" s="15" t="n"/>
      <c r="H28" s="15" t="n"/>
      <c r="I28" s="15" t="n"/>
    </row>
    <row r="29" ht="30" customHeight="1">
      <c r="A29" s="11" t="inlineStr">
        <is>
          <t>V25</t>
        </is>
      </c>
      <c r="B29" s="12" t="n"/>
      <c r="C29" s="7" t="n"/>
      <c r="D29" s="7" t="n"/>
      <c r="E29" s="7" t="n"/>
      <c r="F29" s="7" t="n"/>
      <c r="G29" s="7" t="n"/>
      <c r="H29" s="7" t="n"/>
      <c r="I29" s="7" t="n"/>
    </row>
    <row r="30" ht="30" customHeight="1">
      <c r="A30" s="13" t="inlineStr">
        <is>
          <t>V26</t>
        </is>
      </c>
      <c r="B30" s="14" t="n"/>
      <c r="C30" s="15" t="n"/>
      <c r="D30" s="15" t="n"/>
      <c r="E30" s="15" t="n"/>
      <c r="F30" s="15" t="n"/>
      <c r="G30" s="15" t="n"/>
      <c r="H30" s="15" t="n"/>
      <c r="I30" s="15" t="n"/>
    </row>
    <row r="31" ht="30" customHeight="1">
      <c r="A31" s="11" t="inlineStr">
        <is>
          <t>V27</t>
        </is>
      </c>
      <c r="B31" s="12" t="n"/>
      <c r="C31" s="7" t="n"/>
      <c r="D31" s="7" t="n"/>
      <c r="E31" s="7" t="n"/>
      <c r="F31" s="7" t="n"/>
      <c r="G31" s="7" t="n"/>
      <c r="H31" s="7" t="n"/>
      <c r="I31" s="7" t="n"/>
    </row>
    <row r="32" ht="30" customHeight="1">
      <c r="A32" s="13" t="inlineStr">
        <is>
          <t>V28</t>
        </is>
      </c>
      <c r="B32" s="14" t="n"/>
      <c r="C32" s="15" t="n"/>
      <c r="D32" s="15" t="n"/>
      <c r="E32" s="15" t="n"/>
      <c r="F32" s="15" t="n"/>
      <c r="G32" s="15" t="n"/>
      <c r="H32" s="15" t="n"/>
      <c r="I32" s="15" t="n"/>
    </row>
    <row r="33" ht="30" customHeight="1">
      <c r="A33" s="11" t="inlineStr">
        <is>
          <t>V29</t>
        </is>
      </c>
      <c r="B33" s="12" t="n"/>
      <c r="C33" s="7" t="n"/>
      <c r="D33" s="7" t="n"/>
      <c r="E33" s="7" t="n"/>
      <c r="F33" s="7" t="n"/>
      <c r="G33" s="7" t="n"/>
      <c r="H33" s="7" t="n"/>
      <c r="I33" s="7" t="n"/>
    </row>
    <row r="34" ht="30" customHeight="1">
      <c r="A34" s="13" t="inlineStr">
        <is>
          <t>V30</t>
        </is>
      </c>
      <c r="B34" s="14" t="n"/>
      <c r="C34" s="15" t="n"/>
      <c r="D34" s="15" t="n"/>
      <c r="E34" s="15" t="n"/>
      <c r="F34" s="15" t="n"/>
      <c r="G34" s="15" t="n"/>
      <c r="H34" s="15" t="n"/>
      <c r="I34" s="15" t="n"/>
    </row>
    <row r="35" ht="30" customHeight="1">
      <c r="A35" s="11" t="inlineStr">
        <is>
          <t>V31</t>
        </is>
      </c>
      <c r="B35" s="12" t="n"/>
      <c r="C35" s="7" t="n"/>
      <c r="D35" s="7" t="n"/>
      <c r="E35" s="7" t="n"/>
      <c r="F35" s="7" t="n"/>
      <c r="G35" s="7" t="n"/>
      <c r="H35" s="7" t="n"/>
      <c r="I35" s="7" t="n"/>
    </row>
    <row r="36" ht="30" customHeight="1">
      <c r="A36" s="13" t="inlineStr">
        <is>
          <t>V32</t>
        </is>
      </c>
      <c r="B36" s="14" t="n"/>
      <c r="C36" s="15" t="n"/>
      <c r="D36" s="15" t="n"/>
      <c r="E36" s="15" t="n"/>
      <c r="F36" s="15" t="n"/>
      <c r="G36" s="15" t="n"/>
      <c r="H36" s="15" t="n"/>
      <c r="I36" s="15" t="n"/>
    </row>
    <row r="37" ht="30" customHeight="1">
      <c r="A37" s="11" t="inlineStr">
        <is>
          <t>V33</t>
        </is>
      </c>
      <c r="B37" s="12" t="n"/>
      <c r="C37" s="7" t="n"/>
      <c r="D37" s="7" t="n"/>
      <c r="E37" s="7" t="n"/>
      <c r="F37" s="7" t="n"/>
      <c r="G37" s="7" t="n"/>
      <c r="H37" s="7" t="n"/>
      <c r="I37" s="7" t="n"/>
    </row>
    <row r="38" ht="30" customHeight="1">
      <c r="A38" s="13" t="inlineStr">
        <is>
          <t>V34</t>
        </is>
      </c>
      <c r="B38" s="14" t="n"/>
      <c r="C38" s="15" t="n"/>
      <c r="D38" s="15" t="n"/>
      <c r="E38" s="15" t="n"/>
      <c r="F38" s="15" t="n"/>
      <c r="G38" s="15" t="n"/>
      <c r="H38" s="15" t="n"/>
      <c r="I38" s="15" t="n"/>
    </row>
    <row r="39" ht="30" customHeight="1">
      <c r="A39" s="11" t="inlineStr">
        <is>
          <t>V35</t>
        </is>
      </c>
      <c r="B39" s="12" t="n"/>
      <c r="C39" s="7" t="n"/>
      <c r="D39" s="7" t="n"/>
      <c r="E39" s="7" t="n"/>
      <c r="F39" s="7" t="n"/>
      <c r="G39" s="7" t="n"/>
      <c r="H39" s="7" t="n"/>
      <c r="I39" s="7" t="n"/>
    </row>
    <row r="40" ht="30" customHeight="1">
      <c r="A40" s="13" t="inlineStr">
        <is>
          <t>V36</t>
        </is>
      </c>
      <c r="B40" s="14" t="n"/>
      <c r="C40" s="15" t="n"/>
      <c r="D40" s="15" t="n"/>
      <c r="E40" s="15" t="n"/>
      <c r="F40" s="15" t="n"/>
      <c r="G40" s="15" t="n"/>
      <c r="H40" s="15" t="n"/>
      <c r="I40" s="15" t="n"/>
    </row>
    <row r="41" ht="30" customHeight="1">
      <c r="A41" s="11" t="inlineStr">
        <is>
          <t>V37</t>
        </is>
      </c>
      <c r="B41" s="12" t="n"/>
      <c r="C41" s="7" t="n"/>
      <c r="D41" s="7" t="n"/>
      <c r="E41" s="7" t="n"/>
      <c r="F41" s="7" t="n"/>
      <c r="G41" s="7" t="n"/>
      <c r="H41" s="7" t="n"/>
      <c r="I41" s="7" t="n"/>
    </row>
    <row r="42" ht="30" customHeight="1">
      <c r="A42" s="13" t="inlineStr">
        <is>
          <t>V38</t>
        </is>
      </c>
      <c r="B42" s="14" t="n"/>
      <c r="C42" s="15" t="n"/>
      <c r="D42" s="15" t="n"/>
      <c r="E42" s="15" t="n"/>
      <c r="F42" s="15" t="n"/>
      <c r="G42" s="15" t="n"/>
      <c r="H42" s="15" t="n"/>
      <c r="I42" s="15" t="n"/>
    </row>
    <row r="43" ht="30" customHeight="1">
      <c r="A43" s="11" t="inlineStr">
        <is>
          <t>V39</t>
        </is>
      </c>
      <c r="B43" s="12" t="n"/>
      <c r="C43" s="7" t="n"/>
      <c r="D43" s="7" t="n"/>
      <c r="E43" s="7" t="n"/>
      <c r="F43" s="7" t="n"/>
      <c r="G43" s="7" t="n"/>
      <c r="H43" s="7" t="n"/>
      <c r="I43" s="7" t="n"/>
    </row>
    <row r="44" ht="30" customHeight="1">
      <c r="A44" s="13" t="inlineStr">
        <is>
          <t>V40</t>
        </is>
      </c>
      <c r="B44" s="14" t="n"/>
      <c r="C44" s="15" t="n"/>
      <c r="D44" s="15" t="n"/>
      <c r="E44" s="15" t="n"/>
      <c r="F44" s="15" t="n"/>
      <c r="G44" s="15" t="n"/>
      <c r="H44" s="15" t="n"/>
      <c r="I44" s="15" t="n"/>
    </row>
    <row r="45" ht="30" customHeight="1">
      <c r="A45" s="11" t="inlineStr">
        <is>
          <t>V41</t>
        </is>
      </c>
      <c r="B45" s="12" t="n"/>
      <c r="C45" s="7" t="n"/>
      <c r="D45" s="7" t="n"/>
      <c r="E45" s="7" t="n"/>
      <c r="F45" s="7" t="n"/>
      <c r="G45" s="7" t="n"/>
      <c r="H45" s="7" t="n"/>
      <c r="I45" s="7" t="n"/>
    </row>
    <row r="46" ht="30" customHeight="1">
      <c r="A46" s="13" t="inlineStr">
        <is>
          <t>V42</t>
        </is>
      </c>
      <c r="B46" s="14" t="n"/>
      <c r="C46" s="15" t="n"/>
      <c r="D46" s="15" t="n"/>
      <c r="E46" s="15" t="n"/>
      <c r="F46" s="15" t="n"/>
      <c r="G46" s="15" t="n"/>
      <c r="H46" s="15" t="n"/>
      <c r="I46" s="15" t="n"/>
    </row>
    <row r="47" ht="30" customHeight="1">
      <c r="A47" s="11" t="inlineStr">
        <is>
          <t>V43</t>
        </is>
      </c>
      <c r="B47" s="12" t="n"/>
      <c r="C47" s="7" t="n"/>
      <c r="D47" s="7" t="n"/>
      <c r="E47" s="7" t="n"/>
      <c r="F47" s="7" t="n"/>
      <c r="G47" s="7" t="n"/>
      <c r="H47" s="7" t="n"/>
      <c r="I47" s="7" t="n"/>
    </row>
    <row r="48" ht="30" customHeight="1">
      <c r="A48" s="13" t="inlineStr">
        <is>
          <t>V44</t>
        </is>
      </c>
      <c r="B48" s="14" t="n"/>
      <c r="C48" s="15" t="n"/>
      <c r="D48" s="15" t="n"/>
      <c r="E48" s="15" t="n"/>
      <c r="F48" s="15" t="n"/>
      <c r="G48" s="15" t="n"/>
      <c r="H48" s="15" t="n"/>
      <c r="I48" s="15" t="n"/>
    </row>
    <row r="49" ht="30" customHeight="1">
      <c r="A49" s="11" t="inlineStr">
        <is>
          <t>V45</t>
        </is>
      </c>
      <c r="B49" s="12" t="n"/>
      <c r="C49" s="7" t="n"/>
      <c r="D49" s="7" t="n"/>
      <c r="E49" s="7" t="n"/>
      <c r="F49" s="7" t="n"/>
      <c r="G49" s="7" t="n"/>
      <c r="H49" s="7" t="n"/>
      <c r="I49" s="7" t="n"/>
    </row>
    <row r="50" ht="30" customHeight="1">
      <c r="A50" s="13" t="inlineStr">
        <is>
          <t>V46</t>
        </is>
      </c>
      <c r="B50" s="14" t="n"/>
      <c r="C50" s="15" t="n"/>
      <c r="D50" s="15" t="n"/>
      <c r="E50" s="15" t="n"/>
      <c r="F50" s="15" t="n"/>
      <c r="G50" s="15" t="n"/>
      <c r="H50" s="15" t="n"/>
      <c r="I50" s="15" t="n"/>
    </row>
    <row r="51" ht="30" customHeight="1">
      <c r="A51" s="11" t="inlineStr">
        <is>
          <t>V47</t>
        </is>
      </c>
      <c r="B51" s="12" t="n"/>
      <c r="C51" s="7" t="n"/>
      <c r="D51" s="7" t="n"/>
      <c r="E51" s="7" t="n"/>
      <c r="F51" s="7" t="n"/>
      <c r="G51" s="7" t="n"/>
      <c r="H51" s="7" t="n"/>
      <c r="I51" s="7" t="n"/>
    </row>
    <row r="52" ht="30" customHeight="1">
      <c r="A52" s="13" t="inlineStr">
        <is>
          <t>V48</t>
        </is>
      </c>
      <c r="B52" s="14" t="n"/>
      <c r="C52" s="15" t="n"/>
      <c r="D52" s="15" t="n"/>
      <c r="E52" s="15" t="n"/>
      <c r="F52" s="15" t="n"/>
      <c r="G52" s="15" t="n"/>
      <c r="H52" s="15" t="n"/>
      <c r="I52" s="15" t="n"/>
    </row>
    <row r="53" ht="30" customHeight="1">
      <c r="A53" s="11" t="inlineStr">
        <is>
          <t>V49</t>
        </is>
      </c>
      <c r="B53" s="12" t="n"/>
      <c r="C53" s="7" t="n"/>
      <c r="D53" s="7" t="n"/>
      <c r="E53" s="7" t="n"/>
      <c r="F53" s="7" t="n"/>
      <c r="G53" s="7" t="n"/>
      <c r="H53" s="7" t="n"/>
      <c r="I53" s="7" t="n"/>
    </row>
    <row r="54" ht="30" customHeight="1">
      <c r="A54" s="13" t="inlineStr">
        <is>
          <t>V50</t>
        </is>
      </c>
      <c r="B54" s="14" t="n"/>
      <c r="C54" s="15" t="n"/>
      <c r="D54" s="15" t="n"/>
      <c r="E54" s="15" t="n"/>
      <c r="F54" s="15" t="n"/>
      <c r="G54" s="15" t="n"/>
      <c r="H54" s="15" t="n"/>
      <c r="I54" s="15" t="n"/>
    </row>
    <row r="55" ht="30" customHeight="1">
      <c r="A55" s="11" t="inlineStr">
        <is>
          <t>V51</t>
        </is>
      </c>
      <c r="B55" s="12" t="n"/>
      <c r="C55" s="7" t="n"/>
      <c r="D55" s="7" t="n"/>
      <c r="E55" s="7" t="n"/>
      <c r="F55" s="7" t="n"/>
      <c r="G55" s="7" t="n"/>
      <c r="H55" s="7" t="n"/>
      <c r="I55" s="7" t="n"/>
    </row>
    <row r="56" ht="30" customHeight="1">
      <c r="A56" s="13" t="inlineStr">
        <is>
          <t>V52</t>
        </is>
      </c>
      <c r="B56" s="14" t="n"/>
      <c r="C56" s="15" t="n"/>
      <c r="D56" s="15" t="n"/>
      <c r="E56" s="15" t="n"/>
      <c r="F56" s="15" t="n"/>
      <c r="G56" s="15" t="n"/>
      <c r="H56" s="15" t="n"/>
      <c r="I56" s="15" t="n"/>
    </row>
    <row r="57" ht="30" customHeight="1">
      <c r="A57" s="11" t="inlineStr">
        <is>
          <t>V53</t>
        </is>
      </c>
      <c r="B57" s="12" t="n"/>
      <c r="C57" s="7" t="n"/>
      <c r="D57" s="7" t="n"/>
      <c r="E57" s="7" t="n"/>
      <c r="F57" s="7" t="n"/>
      <c r="G57" s="7" t="n"/>
      <c r="H57" s="7" t="n"/>
      <c r="I57" s="7" t="n"/>
    </row>
    <row r="58" ht="30" customHeight="1">
      <c r="A58" s="13" t="inlineStr">
        <is>
          <t>V54</t>
        </is>
      </c>
      <c r="B58" s="14" t="n"/>
      <c r="C58" s="15" t="n"/>
      <c r="D58" s="15" t="n"/>
      <c r="E58" s="15" t="n"/>
      <c r="F58" s="15" t="n"/>
      <c r="G58" s="15" t="n"/>
      <c r="H58" s="15" t="n"/>
      <c r="I58" s="15" t="n"/>
    </row>
    <row r="59" ht="30" customHeight="1">
      <c r="A59" s="11" t="inlineStr">
        <is>
          <t>V55</t>
        </is>
      </c>
      <c r="B59" s="12" t="n"/>
      <c r="C59" s="7" t="n"/>
      <c r="D59" s="7" t="n"/>
      <c r="E59" s="7" t="n"/>
      <c r="F59" s="7" t="n"/>
      <c r="G59" s="7" t="n"/>
      <c r="H59" s="7" t="n"/>
      <c r="I59" s="7" t="n"/>
    </row>
    <row r="60" ht="30" customHeight="1">
      <c r="A60" s="13" t="inlineStr">
        <is>
          <t>V56</t>
        </is>
      </c>
      <c r="B60" s="14" t="n"/>
      <c r="C60" s="15" t="n"/>
      <c r="D60" s="15" t="n"/>
      <c r="E60" s="15" t="n"/>
      <c r="F60" s="15" t="n"/>
      <c r="G60" s="15" t="n"/>
      <c r="H60" s="15" t="n"/>
      <c r="I60" s="15" t="n"/>
    </row>
    <row r="61" ht="30" customHeight="1">
      <c r="A61" s="11" t="inlineStr">
        <is>
          <t>V57</t>
        </is>
      </c>
      <c r="B61" s="12" t="n"/>
      <c r="C61" s="7" t="n"/>
      <c r="D61" s="7" t="n"/>
      <c r="E61" s="7" t="n"/>
      <c r="F61" s="7" t="n"/>
      <c r="G61" s="7" t="n"/>
      <c r="H61" s="7" t="n"/>
      <c r="I61" s="7" t="n"/>
    </row>
    <row r="62" ht="30" customHeight="1">
      <c r="A62" s="13" t="inlineStr">
        <is>
          <t>V58</t>
        </is>
      </c>
      <c r="B62" s="14" t="n"/>
      <c r="C62" s="15" t="n"/>
      <c r="D62" s="15" t="n"/>
      <c r="E62" s="15" t="n"/>
      <c r="F62" s="15" t="n"/>
      <c r="G62" s="15" t="n"/>
      <c r="H62" s="15" t="n"/>
      <c r="I62" s="15" t="n"/>
    </row>
    <row r="63" ht="30" customHeight="1">
      <c r="A63" s="11" t="inlineStr">
        <is>
          <t>V59</t>
        </is>
      </c>
      <c r="B63" s="12" t="n"/>
      <c r="C63" s="7" t="n"/>
      <c r="D63" s="7" t="n"/>
      <c r="E63" s="7" t="n"/>
      <c r="F63" s="7" t="n"/>
      <c r="G63" s="7" t="n"/>
      <c r="H63" s="7" t="n"/>
      <c r="I63" s="7" t="n"/>
    </row>
    <row r="64" ht="30" customHeight="1">
      <c r="A64" s="13" t="inlineStr">
        <is>
          <t>V60</t>
        </is>
      </c>
      <c r="B64" s="14" t="n"/>
      <c r="C64" s="15" t="n"/>
      <c r="D64" s="15" t="n"/>
      <c r="E64" s="15" t="n"/>
      <c r="F64" s="15" t="n"/>
      <c r="G64" s="15" t="n"/>
      <c r="H64" s="15" t="n"/>
      <c r="I64" s="15" t="n"/>
    </row>
  </sheetData>
  <mergeCells count="2">
    <mergeCell ref="A1:I1"/>
    <mergeCell ref="A2:I2"/>
  </mergeCells>
  <conditionalFormatting sqref="F5:F64">
    <cfRule type="cellIs" priority="1" operator="equal" dxfId="0">
      <formula>"Nghiêm trọng - chặn không làm tiếp được"</formula>
    </cfRule>
    <cfRule type="cellIs" priority="2" operator="equal" dxfId="0">
      <formula>"Cao - làm được nhưng rất khó chịu"</formula>
    </cfRule>
  </conditionalFormatting>
  <dataValidations count="5">
    <dataValidation sqref="B5:B64" showDropDown="0" showInputMessage="0" showErrorMessage="0" allowBlank="1" type="list">
      <formula1>='Người tham gia'!$A$5:$A$44</formula1>
    </dataValidation>
    <dataValidation sqref="C5:C64" showDropDown="0" showInputMessage="0" showErrorMessage="0" allowBlank="1" type="list">
      <formula1>=Lists!$A$2:$A$7</formula1>
    </dataValidation>
    <dataValidation sqref="D5:D64" showDropDown="0" showInputMessage="0" showErrorMessage="0" allowBlank="1" type="list">
      <formula1>=Lists!$C$2:$C$9</formula1>
    </dataValidation>
    <dataValidation sqref="F5:F64" showDropDown="0" showInputMessage="0" showErrorMessage="0" allowBlank="1" type="list">
      <formula1>=Lists!$D$2:$D$5</formula1>
    </dataValidation>
    <dataValidation sqref="I5:I64" showDropDown="0" showInputMessage="0" showErrorMessage="0" allowBlank="1" type="list">
      <formula1>=Lists!$E$2:$E$6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4" customWidth="1" min="1" max="1"/>
    <col width="44" customWidth="1" min="2" max="2"/>
    <col width="18" customWidth="1" min="3" max="3"/>
    <col width="4" customWidth="1" min="4" max="4"/>
    <col width="60" customWidth="1" min="5" max="5"/>
    <col width="16" customWidth="1" min="6" max="6"/>
  </cols>
  <sheetData>
    <row r="1" ht="26" customHeight="1">
      <c r="A1" s="8" t="inlineStr">
        <is>
          <t>Tổng hợp kết quả</t>
        </is>
      </c>
    </row>
    <row r="2" ht="18" customHeight="1">
      <c r="A2" s="9" t="inlineStr">
        <is>
          <t>Sheet này tự tính từ các sheet nhập liệu. Không gõ tay vào đây.</t>
        </is>
      </c>
    </row>
    <row r="4" ht="24" customHeight="1">
      <c r="B4" s="3" t="inlineStr">
        <is>
          <t>Quy mô đợt test</t>
        </is>
      </c>
      <c r="E4" s="3" t="inlineStr">
        <is>
          <t>Điểm trung bình từng câu</t>
        </is>
      </c>
    </row>
    <row r="5" ht="22" customHeight="1">
      <c r="B5" s="7" t="inlineStr">
        <is>
          <t>Số người tham gia đã điền</t>
        </is>
      </c>
      <c r="C5" s="22">
        <f>COUNTA('Người tham gia'!B5:B44)</f>
        <v/>
      </c>
      <c r="E5" s="7" t="inlineStr">
        <is>
          <t>Q1. Tôi tự tìm được chỗ để cho phản hồi mà không phải hỏi ai</t>
        </is>
      </c>
      <c r="F5" s="23">
        <f>IFERROR(ROUND(SUMPRODUCT(('Khảo sát'!C6:C45&lt;&gt;"")*VALUE(LEFT('Khảo sát'!C6:C45&amp;"0",1)))/COUNTIF('Khảo sát'!C6:C45,"?*"),2),"")</f>
        <v/>
      </c>
    </row>
    <row r="6" ht="22" customHeight="1">
      <c r="B6" s="7" t="inlineStr">
        <is>
          <t>Số phiếu khảo sát đã điền</t>
        </is>
      </c>
      <c r="C6" s="22">
        <f>COUNTA('Khảo sát'!C6:C45)</f>
        <v/>
      </c>
      <c r="E6" s="7" t="inlineStr">
        <is>
          <t>Q2. Các bước trong luồng cho phản hồi rõ ràng, không gây bối rối</t>
        </is>
      </c>
      <c r="F6" s="23">
        <f>IFERROR(ROUND(SUMPRODUCT(('Khảo sát'!D6:D45&lt;&gt;"")*VALUE(LEFT('Khảo sát'!D6:D45&amp;"0",1)))/COUNTIF('Khảo sát'!D6:D45,"?*"),2),"")</f>
        <v/>
      </c>
    </row>
    <row r="7" ht="22" customHeight="1">
      <c r="B7" s="7" t="inlineStr">
        <is>
          <t>Số lượt nhiệm vụ đã ghi nhận</t>
        </is>
      </c>
      <c r="C7" s="22">
        <f>COUNTA('Nhiệm vụ'!B5:B84)</f>
        <v/>
      </c>
      <c r="E7" s="7" t="inlineStr">
        <is>
          <t>Q3. Tôi viết xong một phản hồi trong khoảng dưới 1 phút</t>
        </is>
      </c>
      <c r="F7" s="23">
        <f>IFERROR(ROUND(SUMPRODUCT(('Khảo sát'!E6:E45&lt;&gt;"")*VALUE(LEFT('Khảo sát'!E6:E45&amp;"0",1)))/COUNTIF('Khảo sát'!E6:E45,"?*"),2),"")</f>
        <v/>
      </c>
    </row>
    <row r="8" ht="22" customHeight="1">
      <c r="B8" s="7" t="inlineStr">
        <is>
          <t>Số vấn đề đã ghi nhận</t>
        </is>
      </c>
      <c r="C8" s="22">
        <f>COUNTA('Nhật ký vấn đề'!E5:E64)</f>
        <v/>
      </c>
      <c r="E8" s="7" t="inlineStr">
        <is>
          <t>Q4. Từ ngữ trên màn hình dễ hiểu, đúng cách nói ở MoMo</t>
        </is>
      </c>
      <c r="F8" s="23">
        <f>IFERROR(ROUND(SUMPRODUCT(('Khảo sát'!F6:F45&lt;&gt;"")*VALUE(LEFT('Khảo sát'!F6:F45&amp;"0",1)))/COUNTIF('Khảo sát'!F6:F45,"?*"),2),"")</f>
        <v/>
      </c>
    </row>
    <row r="9" ht="22" customHeight="1">
      <c r="E9" s="7" t="inlineStr">
        <is>
          <t>Q5. Gợi ý của AI giúp tôi viết phản hồi tốt hơn bản đầu</t>
        </is>
      </c>
      <c r="F9" s="23">
        <f>IFERROR(ROUND(SUMPRODUCT(('Khảo sát'!G6:G45&lt;&gt;"")*VALUE(LEFT('Khảo sát'!G6:G45&amp;"0",1)))/COUNTIF('Khảo sát'!G6:G45,"?*"),2),"")</f>
        <v/>
      </c>
    </row>
    <row r="10" ht="22" customHeight="1">
      <c r="B10" s="3" t="inlineStr">
        <is>
          <t>Kết quả nhiệm vụ</t>
        </is>
      </c>
      <c r="E10" s="7" t="inlineStr">
        <is>
          <t>Q6. Tôi vẫn là người quyết định nội dung cuối cùng, AI không viết thay tôi</t>
        </is>
      </c>
      <c r="F10" s="23">
        <f>IFERROR(ROUND(SUMPRODUCT(('Khảo sát'!H6:H45&lt;&gt;"")*VALUE(LEFT('Khảo sát'!H6:H45&amp;"0",1)))/COUNTIF('Khảo sát'!H6:H45,"?*"),2),"")</f>
        <v/>
      </c>
    </row>
    <row r="11" ht="22" customHeight="1">
      <c r="B11" s="7" t="inlineStr">
        <is>
          <t>Hoàn thành - tự làm được</t>
        </is>
      </c>
      <c r="C11" s="22">
        <f>COUNTIF('Nhiệm vụ'!$D$5:$D$84,"Hoàn thành - tự làm được")</f>
        <v/>
      </c>
      <c r="E11" s="7" t="inlineStr">
        <is>
          <t>Q7. Bản AI đề xuất giữ đúng ý tôi muốn nói</t>
        </is>
      </c>
      <c r="F11" s="23">
        <f>IFERROR(ROUND(SUMPRODUCT(('Khảo sát'!I6:I45&lt;&gt;"")*VALUE(LEFT('Khảo sát'!I6:I45&amp;"0",1)))/COUNTIF('Khảo sát'!I6:I45,"?*"),2),"")</f>
        <v/>
      </c>
    </row>
    <row r="12" ht="22" customHeight="1">
      <c r="B12" s="7" t="inlineStr">
        <is>
          <t>Hoàn thành - cần gợi ý</t>
        </is>
      </c>
      <c r="C12" s="22">
        <f>COUNTIF('Nhiệm vụ'!$D$5:$D$84,"Hoàn thành - cần gợi ý")</f>
        <v/>
      </c>
      <c r="E12" s="7" t="inlineStr">
        <is>
          <t>Q8. Tôi biết rõ ai xem được phản hồi mình viết</t>
        </is>
      </c>
      <c r="F12" s="23">
        <f>IFERROR(ROUND(SUMPRODUCT(('Khảo sát'!J6:J45&lt;&gt;"")*VALUE(LEFT('Khảo sát'!J6:J45&amp;"0",1)))/COUNTIF('Khảo sát'!J6:J45,"?*"),2),"")</f>
        <v/>
      </c>
    </row>
    <row r="13" ht="22" customHeight="1">
      <c r="B13" s="7" t="inlineStr">
        <is>
          <t>Không hoàn thành</t>
        </is>
      </c>
      <c r="C13" s="22">
        <f>COUNTIF('Nhiệm vụ'!$D$5:$D$84,"Không hoàn thành")</f>
        <v/>
      </c>
      <c r="E13" s="7" t="inlineStr">
        <is>
          <t>Q9. Tôi thấy an toàn khi viết phản hồi thẳng thắn trên hệ thống</t>
        </is>
      </c>
      <c r="F13" s="23">
        <f>IFERROR(ROUND(SUMPRODUCT(('Khảo sát'!K6:K45&lt;&gt;"")*VALUE(LEFT('Khảo sát'!K6:K45&amp;"0",1)))/COUNTIF('Khảo sát'!K6:K45,"?*"),2),"")</f>
        <v/>
      </c>
    </row>
    <row r="14" ht="22" customHeight="1">
      <c r="B14" s="7" t="inlineStr">
        <is>
          <t>Không áp dụng</t>
        </is>
      </c>
      <c r="C14" s="22">
        <f>COUNTIF('Nhiệm vụ'!$D$5:$D$84,"Không áp dụng")</f>
        <v/>
      </c>
      <c r="E14" s="7" t="inlineStr">
        <is>
          <t>Q10. Tôi không có cảm giác module này dùng để giám sát nhân viên</t>
        </is>
      </c>
      <c r="F14" s="23">
        <f>IFERROR(ROUND(SUMPRODUCT(('Khảo sát'!L6:L45&lt;&gt;"")*VALUE(LEFT('Khảo sát'!L6:L45&amp;"0",1)))/COUNTIF('Khảo sát'!L6:L45,"?*"),2),"")</f>
        <v/>
      </c>
    </row>
    <row r="15" ht="22" customHeight="1">
      <c r="B15" s="7" t="inlineStr">
        <is>
          <t>Tỷ lệ hoàn thành không cần gợi ý</t>
        </is>
      </c>
      <c r="C15" s="24">
        <f>IFERROR(COUNTIF('Nhiệm vụ'!$D$5:$D$84,"Hoàn thành - tự làm được")/COUNTIFS('Nhiệm vụ'!$D$5:$D$84,"&lt;&gt;Không áp dụng",'Nhiệm vụ'!$D$5:$D$84,"&lt;&gt;"),"")</f>
        <v/>
      </c>
      <c r="E15" s="7" t="inlineStr">
        <is>
          <t>Q11. Phản hồi tôi nhận được đủ cụ thể để biết cần làm gì tiếp</t>
        </is>
      </c>
      <c r="F15" s="23">
        <f>IFERROR(ROUND(SUMPRODUCT(('Khảo sát'!M6:M45&lt;&gt;"")*VALUE(LEFT('Khảo sát'!M6:M45&amp;"0",1)))/COUNTIF('Khảo sát'!M6:M45,"?*"),2),"")</f>
        <v/>
      </c>
    </row>
    <row r="16" ht="22" customHeight="1">
      <c r="B16" s="7" t="inlineStr">
        <is>
          <t>Thời gian làm trung bình (giây)</t>
        </is>
      </c>
      <c r="C16" s="22">
        <f>IFERROR(ROUND(AVERAGE('Nhiệm vụ'!$E$5:$E$84),0),"")</f>
        <v/>
      </c>
      <c r="E16" s="7" t="inlineStr">
        <is>
          <t>Q12. Tôi sẽ chủ động dùng module này mà không cần ai nhắc</t>
        </is>
      </c>
      <c r="F16" s="23">
        <f>IFERROR(ROUND(SUMPRODUCT(('Khảo sát'!N6:N45&lt;&gt;"")*VALUE(LEFT('Khảo sát'!N6:N45&amp;"0",1)))/COUNTIF('Khảo sát'!N6:N45,"?*"),2),"")</f>
        <v/>
      </c>
    </row>
    <row r="17" ht="22" customHeight="1">
      <c r="E17" s="7" t="inlineStr">
        <is>
          <t>Q13. Tôi sẽ giới thiệu đồng nghiệp dùng module này</t>
        </is>
      </c>
      <c r="F17" s="23">
        <f>IFERROR(ROUND(SUMPRODUCT(('Khảo sát'!O6:O45&lt;&gt;"")*VALUE(LEFT('Khảo sát'!O6:O45&amp;"0",1)))/COUNTIF('Khảo sát'!O6:O45,"?*"),2),"")</f>
        <v/>
      </c>
    </row>
    <row r="18" ht="22" customHeight="1">
      <c r="B18" s="3" t="inlineStr">
        <is>
          <t>Vấn đề theo mức độ</t>
        </is>
      </c>
      <c r="E18" s="7" t="inlineStr">
        <is>
          <t>Q14. Tính chung, tôi hài lòng với trải nghiệm module Phản hồi</t>
        </is>
      </c>
      <c r="F18" s="23">
        <f>IFERROR(ROUND(SUMPRODUCT(('Khảo sát'!P6:P45&lt;&gt;"")*VALUE(LEFT('Khảo sát'!P6:P45&amp;"0",1)))/COUNTIF('Khảo sát'!P6:P45,"?*"),2),"")</f>
        <v/>
      </c>
    </row>
    <row r="19" ht="22" customHeight="1">
      <c r="B19" s="7" t="inlineStr">
        <is>
          <t>Nghiêm trọng - chặn không làm tiếp được</t>
        </is>
      </c>
      <c r="C19" s="22">
        <f>COUNTIF('Nhật ký vấn đề'!$F$5:$F$64,"Nghiêm trọng - chặn không làm tiếp được")</f>
        <v/>
      </c>
    </row>
    <row r="20" ht="24" customHeight="1">
      <c r="B20" s="7" t="inlineStr">
        <is>
          <t>Cao - làm được nhưng rất khó chịu</t>
        </is>
      </c>
      <c r="C20" s="22">
        <f>COUNTIF('Nhật ký vấn đề'!$F$5:$F$64,"Cao - làm được nhưng rất khó chịu")</f>
        <v/>
      </c>
      <c r="E20" s="3" t="inlineStr">
        <is>
          <t>Chỉ số chung</t>
        </is>
      </c>
    </row>
    <row r="21" ht="22" customHeight="1">
      <c r="B21" s="7" t="inlineStr">
        <is>
          <t>Trung bình - gây chậm hoặc nhầm lẫn</t>
        </is>
      </c>
      <c r="C21" s="22">
        <f>COUNTIF('Nhật ký vấn đề'!$F$5:$F$64,"Trung bình - gây chậm hoặc nhầm lẫn")</f>
        <v/>
      </c>
      <c r="E21" s="7" t="inlineStr">
        <is>
          <t>Điểm trung bình toàn bộ 14 câu</t>
        </is>
      </c>
      <c r="F21" s="23">
        <f>IFERROR(ROUND(SUMPRODUCT(('Khảo sát'!$C$6:$P$45&lt;&gt;"")*VALUE(LEFT('Khảo sát'!$C$6:$P$45&amp;"0",1)))/COUNTIF('Khảo sát'!$C$6:$P$45,"?*"),2),"")</f>
        <v/>
      </c>
    </row>
    <row r="22" ht="22" customHeight="1">
      <c r="B22" s="7" t="inlineStr">
        <is>
          <t>Thấp - gợn nhỏ về thẩm mỹ hoặc chữ nghĩa</t>
        </is>
      </c>
      <c r="C22" s="22">
        <f>COUNTIF('Nhật ký vấn đề'!$F$5:$F$64,"Thấp - gợn nhỏ về thẩm mỹ hoặc chữ nghĩa")</f>
        <v/>
      </c>
      <c r="E22" s="7" t="inlineStr">
        <is>
          <t>Điểm NPS - phần trăm ủng hộ trừ phần trăm chưa hài lòng</t>
        </is>
      </c>
      <c r="F22" s="22">
        <f>IFERROR(ROUND((COUNTIFS('Khảo sát'!$Q$6:$Q$45,"&gt;=9")-COUNTIFS('Khảo sát'!$Q$6:$Q$45,"&lt;=6"))/COUNT('Khảo sát'!$Q$6:$Q$45)*100,0),"")</f>
        <v/>
      </c>
    </row>
    <row r="23" ht="22" customHeight="1">
      <c r="E23" s="7" t="inlineStr">
        <is>
          <t>Số vấn đề nghiêm trọng hoặc cao còn chưa sửa</t>
        </is>
      </c>
      <c r="F23" s="22">
        <f>COUNTIFS('Nhật ký vấn đề'!$F$5:$F$64,"Nghiêm trọng*",'Nhật ký vấn đề'!$I$5:$I$64,"&lt;&gt;Đã sửa")+COUNTIFS('Nhật ký vấn đề'!$F$5:$F$64,"Cao*",'Nhật ký vấn đề'!$I$5:$I$64,"&lt;&gt;Đã sửa")</f>
        <v/>
      </c>
    </row>
    <row r="24" ht="24" customHeight="1">
      <c r="B24" s="3" t="inlineStr">
        <is>
          <t>Vấn đề theo màn hình</t>
        </is>
      </c>
    </row>
    <row r="25" ht="22" customHeight="1">
      <c r="B25" s="7" t="inlineStr">
        <is>
          <t>E-04 - Phản hồi của tôi</t>
        </is>
      </c>
      <c r="C25" s="22">
        <f>COUNTIF('Nhật ký vấn đề'!$C$5:$C$64,"E-04 - Phản hồi của tôi")</f>
        <v/>
      </c>
      <c r="E25" s="25" t="inlineStr">
        <is>
          <t>Các ô ở sheet này đều là công thức tự tính, gõ đè lên sẽ mất. Danh sách chọn nằm ở sheet Lists đang ẩn - cần thêm màn hình hay loại vấn đề mới thì bỏ ẩn sheet đó rồi thêm vào.</t>
        </is>
      </c>
    </row>
    <row r="26" ht="22" customHeight="1">
      <c r="B26" s="7" t="inlineStr">
        <is>
          <t>M-04 - Phản hồi của đội nhóm</t>
        </is>
      </c>
      <c r="C26" s="22">
        <f>COUNTIF('Nhật ký vấn đề'!$C$5:$C$64,"M-04 - Phản hồi của đội nhóm")</f>
        <v/>
      </c>
    </row>
    <row r="27" ht="22" customHeight="1">
      <c r="B27" s="7" t="inlineStr">
        <is>
          <t>H-05 - Quản lý yêu cầu phản hồi (HR)</t>
        </is>
      </c>
      <c r="C27" s="22">
        <f>COUNTIF('Nhật ký vấn đề'!$C$5:$C$64,"H-05 - Quản lý yêu cầu phản hồi (HR)")</f>
        <v/>
      </c>
    </row>
    <row r="28" ht="22" customHeight="1">
      <c r="B28" s="7" t="inlineStr">
        <is>
          <t>H-06 - Chi tiết chương trình phản hồi</t>
        </is>
      </c>
      <c r="C28" s="22">
        <f>COUNTIF('Nhật ký vấn đề'!$C$5:$C$64,"H-06 - Chi tiết chương trình phản hồi")</f>
        <v/>
      </c>
    </row>
    <row r="29" ht="22" customHeight="1">
      <c r="B29" s="7" t="inlineStr">
        <is>
          <t>H-07 - Báo cáo phản hồi</t>
        </is>
      </c>
      <c r="C29" s="22">
        <f>COUNTIF('Nhật ký vấn đề'!$C$5:$C$64,"H-07 - Báo cáo phản hồi")</f>
        <v/>
      </c>
    </row>
    <row r="30" ht="22" customHeight="1">
      <c r="B30" s="7" t="inlineStr">
        <is>
          <t>Khác - ghi rõ ở cột mô tả</t>
        </is>
      </c>
      <c r="C30" s="22">
        <f>COUNTIF('Nhật ký vấn đề'!$C$5:$C$64,"Khác - ghi rõ ở cột mô tả")</f>
        <v/>
      </c>
    </row>
  </sheetData>
  <mergeCells count="3">
    <mergeCell ref="A2:F2"/>
    <mergeCell ref="A1:F1"/>
    <mergeCell ref="E25:F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14" customWidth="1" min="8" max="8"/>
    <col width="56" customWidth="1" min="9" max="9"/>
  </cols>
  <sheetData>
    <row r="1">
      <c r="A1" s="26" t="inlineStr">
        <is>
          <t>Màn hình</t>
        </is>
      </c>
      <c r="B1" s="26" t="inlineStr">
        <is>
          <t>Vai trò</t>
        </is>
      </c>
      <c r="C1" s="26" t="inlineStr">
        <is>
          <t>Loại vấn đề</t>
        </is>
      </c>
      <c r="D1" s="26" t="inlineStr">
        <is>
          <t>Mức độ</t>
        </is>
      </c>
      <c r="E1" s="26" t="inlineStr">
        <is>
          <t>Trạng thái</t>
        </is>
      </c>
      <c r="F1" s="26" t="inlineStr">
        <is>
          <t>Kết quả nhiệm vụ</t>
        </is>
      </c>
      <c r="G1" s="26" t="inlineStr">
        <is>
          <t>Thang 1 đến 5</t>
        </is>
      </c>
      <c r="H1" s="26" t="inlineStr">
        <is>
          <t>Mã nhiệm vụ</t>
        </is>
      </c>
      <c r="I1" s="26" t="inlineStr">
        <is>
          <t>Nội dung nhiệm vụ</t>
        </is>
      </c>
    </row>
    <row r="2">
      <c r="A2" t="inlineStr">
        <is>
          <t>E-04 - Phản hồi của tôi</t>
        </is>
      </c>
      <c r="B2" t="inlineStr">
        <is>
          <t>Nhân viên</t>
        </is>
      </c>
      <c r="C2" t="inlineStr">
        <is>
          <t>Khó tìm - không biết bấm đâu</t>
        </is>
      </c>
      <c r="D2" t="inlineStr">
        <is>
          <t>Nghiêm trọng - chặn không làm tiếp được</t>
        </is>
      </c>
      <c r="E2" t="inlineStr">
        <is>
          <t>Mới ghi nhận</t>
        </is>
      </c>
      <c r="F2" t="inlineStr">
        <is>
          <t>Hoàn thành - tự làm được</t>
        </is>
      </c>
      <c r="G2" t="inlineStr">
        <is>
          <t>1 - Rất không đồng ý</t>
        </is>
      </c>
      <c r="H2" t="inlineStr">
        <is>
          <t>NV-1</t>
        </is>
      </c>
      <c r="I2" t="inlineStr">
        <is>
          <t>Cho một đồng nghiệp phản hồi về việc vừa làm cùng</t>
        </is>
      </c>
    </row>
    <row r="3">
      <c r="A3" t="inlineStr">
        <is>
          <t>M-04 - Phản hồi của đội nhóm</t>
        </is>
      </c>
      <c r="B3" t="inlineStr">
        <is>
          <t>Quản lý trực tiếp</t>
        </is>
      </c>
      <c r="C3" t="inlineStr">
        <is>
          <t>Hiểu sai ý nghĩa</t>
        </is>
      </c>
      <c r="D3" t="inlineStr">
        <is>
          <t>Cao - làm được nhưng rất khó chịu</t>
        </is>
      </c>
      <c r="E3" t="inlineStr">
        <is>
          <t>Đang xử lý</t>
        </is>
      </c>
      <c r="F3" t="inlineStr">
        <is>
          <t>Hoàn thành - cần gợi ý</t>
        </is>
      </c>
      <c r="G3" t="inlineStr">
        <is>
          <t>2 - Không đồng ý</t>
        </is>
      </c>
      <c r="H3" t="inlineStr">
        <is>
          <t>NV-2</t>
        </is>
      </c>
      <c r="I3" t="inlineStr">
        <is>
          <t>Dùng gợi ý AI rồi chọn bản cuối trước khi gửi</t>
        </is>
      </c>
    </row>
    <row r="4">
      <c r="A4" t="inlineStr">
        <is>
          <t>H-05 - Quản lý yêu cầu phản hồi (HR)</t>
        </is>
      </c>
      <c r="B4" t="inlineStr">
        <is>
          <t>Quản lý cấp 2 - HOD</t>
        </is>
      </c>
      <c r="C4" t="inlineStr">
        <is>
          <t>Từ ngữ khó hiểu</t>
        </is>
      </c>
      <c r="D4" t="inlineStr">
        <is>
          <t>Trung bình - gây chậm hoặc nhầm lẫn</t>
        </is>
      </c>
      <c r="E4" t="inlineStr">
        <is>
          <t>Đã sửa</t>
        </is>
      </c>
      <c r="F4" t="inlineStr">
        <is>
          <t>Không hoàn thành</t>
        </is>
      </c>
      <c r="G4" t="inlineStr">
        <is>
          <t>3 - Bình thường</t>
        </is>
      </c>
      <c r="H4" t="inlineStr">
        <is>
          <t>NV-3</t>
        </is>
      </c>
      <c r="I4" t="inlineStr">
        <is>
          <t>Chọn ai được xem phản hồi mình vừa viết</t>
        </is>
      </c>
    </row>
    <row r="5">
      <c r="A5" t="inlineStr">
        <is>
          <t>H-06 - Chi tiết chương trình phản hồi</t>
        </is>
      </c>
      <c r="B5" t="inlineStr">
        <is>
          <t>HR</t>
        </is>
      </c>
      <c r="C5" t="inlineStr">
        <is>
          <t>Thiếu thông tin cần thiết</t>
        </is>
      </c>
      <c r="D5" t="inlineStr">
        <is>
          <t>Thấp - gợn nhỏ về thẩm mỹ hoặc chữ nghĩa</t>
        </is>
      </c>
      <c r="E5" t="inlineStr">
        <is>
          <t>Không sửa - có lý do</t>
        </is>
      </c>
      <c r="F5" t="inlineStr">
        <is>
          <t>Không áp dụng</t>
        </is>
      </c>
      <c r="G5" t="inlineStr">
        <is>
          <t>4 - Đồng ý</t>
        </is>
      </c>
      <c r="H5" t="inlineStr">
        <is>
          <t>NV-4</t>
        </is>
      </c>
      <c r="I5" t="inlineStr">
        <is>
          <t>Yêu cầu phản hồi từ 3 người về một dự án, có hạn trả lời</t>
        </is>
      </c>
    </row>
    <row r="6">
      <c r="A6" t="inlineStr">
        <is>
          <t>H-07 - Báo cáo phản hồi</t>
        </is>
      </c>
      <c r="C6" t="inlineStr">
        <is>
          <t>Lỗi kỹ thuật</t>
        </is>
      </c>
      <c r="E6" t="inlineStr">
        <is>
          <t>Để đợt sau</t>
        </is>
      </c>
      <c r="G6" t="inlineStr">
        <is>
          <t>5 - Rất đồng ý</t>
        </is>
      </c>
      <c r="H6" t="inlineStr">
        <is>
          <t>NV-5</t>
        </is>
      </c>
      <c r="I6" t="inlineStr">
        <is>
          <t>Trả lời một yêu cầu phản hồi gửi đến mình</t>
        </is>
      </c>
    </row>
    <row r="7">
      <c r="A7" t="inlineStr">
        <is>
          <t>Khác - ghi rõ ở cột mô tả</t>
        </is>
      </c>
      <c r="C7" t="inlineStr">
        <is>
          <t>Lo ngại về quyền riêng tư</t>
        </is>
      </c>
      <c r="H7" t="inlineStr">
        <is>
          <t>NV-6</t>
        </is>
      </c>
      <c r="I7" t="inlineStr">
        <is>
          <t>Tìm lại phản hồi đã nhận và lọc theo Đã nhận hoặc Đã cho</t>
        </is>
      </c>
    </row>
    <row r="8">
      <c r="C8" t="inlineStr">
        <is>
          <t>Gợi ý AI chưa đúng ý</t>
        </is>
      </c>
      <c r="H8" t="inlineStr">
        <is>
          <t>NV-7</t>
        </is>
      </c>
      <c r="I8" t="inlineStr">
        <is>
          <t>Nhắc người chưa trả lời trong yêu cầu của mình</t>
        </is>
      </c>
    </row>
    <row r="9">
      <c r="C9" t="inlineStr">
        <is>
          <t>Đề xuất cải tiến</t>
        </is>
      </c>
      <c r="H9" t="inlineStr">
        <is>
          <t>QL-1</t>
        </is>
      </c>
      <c r="I9" t="inlineStr">
        <is>
          <t>Xem phản hồi mà một nhân viên cấp dưới nhận được</t>
        </is>
      </c>
    </row>
    <row r="10">
      <c r="H10" t="inlineStr">
        <is>
          <t>QL-2</t>
        </is>
      </c>
      <c r="I10" t="inlineStr">
        <is>
          <t>Tạo yêu cầu phản hồi cho một nhân viên cấp dưới</t>
        </is>
      </c>
    </row>
    <row r="11">
      <c r="H11" t="inlineStr">
        <is>
          <t>QL-3</t>
        </is>
      </c>
      <c r="I11" t="inlineStr">
        <is>
          <t>Theo dõi tiến độ yêu cầu đã tạo và nhắc người chưa trả lời</t>
        </is>
      </c>
    </row>
    <row r="12">
      <c r="H12" t="inlineStr">
        <is>
          <t>QL-4</t>
        </is>
      </c>
      <c r="I12" t="inlineStr">
        <is>
          <t>Đọc tóm tắt AI và nói ra một điều sẽ coaching cho nhân viên</t>
        </is>
      </c>
    </row>
    <row r="13">
      <c r="H13" t="inlineStr">
        <is>
          <t>HR-1</t>
        </is>
      </c>
      <c r="I13" t="inlineStr">
        <is>
          <t>Tạo một chương trình thu thập phản hồi</t>
        </is>
      </c>
    </row>
    <row r="14">
      <c r="H14" t="inlineStr">
        <is>
          <t>HR-2</t>
        </is>
      </c>
      <c r="I14" t="inlineStr">
        <is>
          <t>Theo dõi tiến độ chương trình và nhắc người chưa trả lời</t>
        </is>
      </c>
    </row>
    <row r="15">
      <c r="H15" t="inlineStr">
        <is>
          <t>HR-3</t>
        </is>
      </c>
      <c r="I15" t="inlineStr">
        <is>
          <t>Xem báo cáo phản hồi của chương trình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2026-09-11T08:50:00Z</dcterms:created>
  <dcterms:modified xsi:type="dcterms:W3CDTF">2026-09-11T08:50:01Z</dcterms:modified>
</cp:coreProperties>
</file>